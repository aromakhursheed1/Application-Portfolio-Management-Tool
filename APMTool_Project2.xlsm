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khiibaedu-my.sharepoint.com/personal/a_khursheed_22001_khi_iba_edu_pk/Documents/Desktop/"/>
    </mc:Choice>
  </mc:AlternateContent>
  <xr:revisionPtr revIDLastSave="140" documentId="8_{45E28F0D-E7D1-49C0-A179-12A0833B8B86}" xr6:coauthVersionLast="47" xr6:coauthVersionMax="47" xr10:uidLastSave="{FF54EFEF-90A3-4193-9D0F-B1D4DD928B3A}"/>
  <bookViews>
    <workbookView xWindow="-108" yWindow="-108" windowWidth="23256" windowHeight="12456" xr2:uid="{054C11A5-33D2-4FB8-BE5E-40C37DF1EDAF}"/>
  </bookViews>
  <sheets>
    <sheet name="Cover Page" sheetId="9" r:id="rId1"/>
    <sheet name="Applications" sheetId="3" r:id="rId2"/>
    <sheet name="Status" sheetId="7" r:id="rId3"/>
    <sheet name="Cost Analysis" sheetId="10" r:id="rId4"/>
    <sheet name="Form" sheetId="5" r:id="rId5"/>
  </sheets>
  <functionGroups builtInGroupCount="19"/>
  <definedNames>
    <definedName name="Application_Name">Form!$E$11</definedName>
    <definedName name="Department_used_by">Form!$E$17</definedName>
    <definedName name="DynamicData">OFFSET(Applications!$A$1, 0, 0, COUNTA(Applications!$A:$A), 8)</definedName>
    <definedName name="Initial_Cost">Form!$E$19</definedName>
    <definedName name="Last_Update_Received">Form!$E$15</definedName>
    <definedName name="License_Expiry_Date">Form!$E$13</definedName>
    <definedName name="Maintenance_Cost">Form!$E$21</definedName>
    <definedName name="Retirement_Cost">Form!$E$23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<sst xmlns="http://schemas.openxmlformats.org/spreadsheetml/2006/main" count="160" uniqueCount="51">
  <si>
    <t>Salesforce</t>
  </si>
  <si>
    <t>SAP</t>
  </si>
  <si>
    <t>QuickBooks</t>
  </si>
  <si>
    <t>Microsoft 365</t>
  </si>
  <si>
    <t>Oracle</t>
  </si>
  <si>
    <t>Zoom</t>
  </si>
  <si>
    <t>Finance</t>
  </si>
  <si>
    <t>HR</t>
  </si>
  <si>
    <t>Marketing</t>
  </si>
  <si>
    <t>Hubspot CRM</t>
  </si>
  <si>
    <t>Total Cost of Ownership</t>
  </si>
  <si>
    <t>ENTER NEW APPLICATION DETAILS</t>
  </si>
  <si>
    <t>Application Name</t>
  </si>
  <si>
    <t>Sales</t>
  </si>
  <si>
    <t>Operation</t>
  </si>
  <si>
    <t>DeptNames</t>
  </si>
  <si>
    <t>IBM</t>
  </si>
  <si>
    <t>Department Used By</t>
  </si>
  <si>
    <t>License Expiration Date</t>
  </si>
  <si>
    <t>Last Update Recieved</t>
  </si>
  <si>
    <t>Department Name</t>
  </si>
  <si>
    <t>Initial Cost</t>
  </si>
  <si>
    <t>Maintenance Cost</t>
  </si>
  <si>
    <t>Retirement Cost</t>
  </si>
  <si>
    <t xml:space="preserve">Maintenance Cost </t>
  </si>
  <si>
    <t xml:space="preserve">Initial Cost </t>
  </si>
  <si>
    <t>Grand Total</t>
  </si>
  <si>
    <t>Sum of Total Cost of Ownership</t>
  </si>
  <si>
    <t>Applications Reaching End-of-Life</t>
  </si>
  <si>
    <t>Outlook</t>
  </si>
  <si>
    <t>Power BI</t>
  </si>
  <si>
    <t>License Expiry Date (dd/mm/yyyy)</t>
  </si>
  <si>
    <t>Last Update Received (dd/mm/yyyy)</t>
  </si>
  <si>
    <t>Google Analytics</t>
  </si>
  <si>
    <t>Row Labels</t>
  </si>
  <si>
    <t>Count of Application Name</t>
  </si>
  <si>
    <t>Active Application</t>
  </si>
  <si>
    <t>Applications with Expired License</t>
  </si>
  <si>
    <t>LMS</t>
  </si>
  <si>
    <t>Application Portfolio Management Tool</t>
  </si>
  <si>
    <t>Prepared By: Aroma Khursheed</t>
  </si>
  <si>
    <t>Valid License Expiration Date</t>
  </si>
  <si>
    <t>R</t>
  </si>
  <si>
    <t>Python</t>
  </si>
  <si>
    <t>Total Expenditure by Department</t>
  </si>
  <si>
    <t>Application Cost Analysis Report</t>
  </si>
  <si>
    <t>Total Expense by Application</t>
  </si>
  <si>
    <t xml:space="preserve">Number of Applications used by Each Department </t>
  </si>
  <si>
    <t>Cisco</t>
  </si>
  <si>
    <t>Zoom Pro</t>
  </si>
  <si>
    <t>Tableau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</si>
</sst>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_(&quot;$&quot;* #,##0_);_(&quot;$&quot;* \(#,##0\);_(&quot;$&quot;* &quot;-&quot;_);_(@_)"/>
    <numFmt numFmtId="166" formatCode="_-* #,##0.0_-;\-* #,##0.0_-;_-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0"/>
      <name val="Calibri"/>
      <family val="2"/>
    </font>
    <font>
      <sz val="22"/>
      <color theme="0"/>
      <name val="Calibri"/>
      <family val="2"/>
    </font>
    <font>
      <b/>
      <sz val="16"/>
      <color theme="0"/>
      <name val="Calibri"/>
      <family val="2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22"/>
      <color theme="0"/>
      <name val="Aptos Narrow"/>
      <family val="2"/>
      <scheme val="minor"/>
    </font>
    <font>
      <b/>
      <i/>
      <sz val="22"/>
      <color theme="7" tint="-0.24994659260841701"/>
      <name val="Aptos Display"/>
      <family val="1"/>
      <scheme val="major"/>
    </font>
    <font>
      <b/>
      <sz val="22"/>
      <color theme="3"/>
      <name val="Aptos Narrow"/>
      <family val="2"/>
      <scheme val="minor"/>
    </font>
    <font>
      <b/>
      <sz val="12"/>
      <color theme="8"/>
      <name val="Aptos Display"/>
      <family val="1"/>
      <scheme val="major"/>
    </font>
    <font>
      <sz val="11"/>
      <name val="Aptos Narrow"/>
      <family val="2"/>
      <scheme val="minor"/>
    </font>
    <font>
      <sz val="48"/>
      <color theme="1"/>
      <name val="Amasis MT Pro Black"/>
      <family val="1"/>
    </font>
    <font>
      <u/>
      <sz val="22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4"/>
      <color theme="1"/>
      <name val="Calibri"/>
      <family val="2"/>
    </font>
    <font>
      <sz val="12"/>
      <color rgb="FF000000"/>
      <name val="Aptos Narrow"/>
      <family val="2"/>
    </font>
  </fonts>
  <fills count="14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rgb="FFF2FFED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499984740745262"/>
        <bgColor rgb="FFB6D7A8"/>
      </patternFill>
    </fill>
    <fill>
      <patternFill patternType="solid">
        <fgColor rgb="FF074F69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274E13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medium">
        <color rgb="FF274E13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274E13"/>
      </left>
      <right style="thin">
        <color indexed="64"/>
      </right>
      <top style="thin">
        <color rgb="FF274E13"/>
      </top>
      <bottom style="thin">
        <color rgb="FF274E1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5" fillId="5" borderId="0" applyNumberFormat="0" applyBorder="0" applyAlignment="0" applyProtection="0"/>
    <xf numFmtId="9" fontId="16" fillId="0" borderId="0" applyFill="0" applyBorder="0" applyProtection="0">
      <alignment horizontal="right"/>
    </xf>
    <xf numFmtId="165" fontId="16" fillId="0" borderId="0" applyFill="0" applyBorder="0" applyAlignment="0" applyProtection="0"/>
    <xf numFmtId="165" fontId="1" fillId="11" borderId="16" applyNumberFormat="0" applyFont="0" applyAlignment="0">
      <alignment horizontal="center"/>
    </xf>
    <xf numFmtId="0" fontId="1" fillId="0" borderId="0">
      <alignment horizontal="right" wrapText="1" indent="1"/>
    </xf>
    <xf numFmtId="0" fontId="15" fillId="0" borderId="0" applyFill="0" applyProtection="0">
      <alignment horizontal="right" vertical="center"/>
    </xf>
    <xf numFmtId="0" fontId="14" fillId="0" borderId="0" applyNumberFormat="0" applyFill="0" applyBorder="0" applyProtection="0">
      <alignment vertical="center"/>
    </xf>
    <xf numFmtId="0" fontId="13" fillId="0" borderId="0" applyFill="0" applyProtection="0">
      <alignment horizontal="right" vertical="center"/>
    </xf>
    <xf numFmtId="165" fontId="16" fillId="12" borderId="16" applyNumberFormat="0" applyFont="0" applyAlignment="0"/>
  </cellStyleXfs>
  <cellXfs count="71">
    <xf numFmtId="0" fontId="0" fillId="0" borderId="0" xfId="0"/>
    <xf numFmtId="0" fontId="3" fillId="0" borderId="0" xfId="0" applyFont="1" applyAlignment="1">
      <alignment horizontal="left"/>
    </xf>
    <xf numFmtId="0" fontId="3" fillId="2" borderId="4" xfId="0" applyFont="1" applyFill="1" applyBorder="1"/>
    <xf numFmtId="0" fontId="3" fillId="2" borderId="0" xfId="0" applyFont="1" applyFill="1"/>
    <xf numFmtId="0" fontId="3" fillId="2" borderId="0" xfId="0" applyFont="1" applyFill="1" applyAlignment="1">
      <alignment horizontal="left"/>
    </xf>
    <xf numFmtId="0" fontId="3" fillId="2" borderId="5" xfId="0" applyFont="1" applyFill="1" applyBorder="1"/>
    <xf numFmtId="0" fontId="2" fillId="0" borderId="0" xfId="0" applyFont="1" applyAlignment="1">
      <alignment vertical="top"/>
    </xf>
    <xf numFmtId="0" fontId="3" fillId="0" borderId="0" xfId="0" applyFont="1" applyAlignment="1">
      <alignment vertical="center"/>
    </xf>
    <xf numFmtId="164" fontId="0" fillId="0" borderId="0" xfId="1" applyNumberFormat="1" applyFont="1"/>
    <xf numFmtId="0" fontId="0" fillId="4" borderId="0" xfId="0" applyFill="1"/>
    <xf numFmtId="0" fontId="3" fillId="6" borderId="1" xfId="0" applyFont="1" applyFill="1" applyBorder="1"/>
    <xf numFmtId="0" fontId="3" fillId="6" borderId="2" xfId="0" applyFont="1" applyFill="1" applyBorder="1"/>
    <xf numFmtId="0" fontId="3" fillId="6" borderId="2" xfId="0" applyFont="1" applyFill="1" applyBorder="1" applyAlignment="1">
      <alignment horizontal="left"/>
    </xf>
    <xf numFmtId="0" fontId="3" fillId="6" borderId="3" xfId="0" applyFont="1" applyFill="1" applyBorder="1"/>
    <xf numFmtId="0" fontId="3" fillId="6" borderId="4" xfId="0" applyFont="1" applyFill="1" applyBorder="1"/>
    <xf numFmtId="0" fontId="2" fillId="6" borderId="4" xfId="0" applyFont="1" applyFill="1" applyBorder="1" applyAlignment="1">
      <alignment vertical="top"/>
    </xf>
    <xf numFmtId="0" fontId="3" fillId="6" borderId="4" xfId="0" applyFont="1" applyFill="1" applyBorder="1" applyAlignment="1">
      <alignment vertical="center"/>
    </xf>
    <xf numFmtId="0" fontId="3" fillId="6" borderId="7" xfId="0" applyFont="1" applyFill="1" applyBorder="1"/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5" xfId="0" applyFont="1" applyFill="1" applyBorder="1"/>
    <xf numFmtId="0" fontId="2" fillId="6" borderId="5" xfId="0" applyFont="1" applyFill="1" applyBorder="1" applyAlignment="1">
      <alignment vertical="top"/>
    </xf>
    <xf numFmtId="0" fontId="3" fillId="6" borderId="5" xfId="0" applyFont="1" applyFill="1" applyBorder="1" applyAlignment="1">
      <alignment vertical="center"/>
    </xf>
    <xf numFmtId="0" fontId="3" fillId="6" borderId="9" xfId="0" applyFont="1" applyFill="1" applyBorder="1"/>
    <xf numFmtId="0" fontId="3" fillId="6" borderId="8" xfId="0" applyFont="1" applyFill="1" applyBorder="1"/>
    <xf numFmtId="0" fontId="3" fillId="6" borderId="8" xfId="0" applyFont="1" applyFill="1" applyBorder="1" applyAlignment="1">
      <alignment horizontal="left"/>
    </xf>
    <xf numFmtId="0" fontId="3" fillId="6" borderId="6" xfId="0" applyFont="1" applyFill="1" applyBorder="1"/>
    <xf numFmtId="0" fontId="3" fillId="6" borderId="6" xfId="0" applyFont="1" applyFill="1" applyBorder="1" applyAlignment="1">
      <alignment horizontal="left"/>
    </xf>
    <xf numFmtId="0" fontId="1" fillId="6" borderId="0" xfId="0" applyFont="1" applyFill="1" applyAlignment="1">
      <alignment horizontal="left" vertical="center"/>
    </xf>
    <xf numFmtId="0" fontId="4" fillId="6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9" fillId="6" borderId="0" xfId="0" applyFont="1" applyFill="1" applyAlignment="1">
      <alignment vertical="center"/>
    </xf>
    <xf numFmtId="0" fontId="10" fillId="0" borderId="0" xfId="0" applyFont="1"/>
    <xf numFmtId="14" fontId="10" fillId="0" borderId="0" xfId="0" applyNumberFormat="1" applyFont="1"/>
    <xf numFmtId="164" fontId="10" fillId="0" borderId="0" xfId="1" applyNumberFormat="1" applyFont="1"/>
    <xf numFmtId="0" fontId="11" fillId="0" borderId="0" xfId="0" applyFont="1"/>
    <xf numFmtId="0" fontId="2" fillId="0" borderId="0" xfId="0" applyFont="1"/>
    <xf numFmtId="0" fontId="0" fillId="0" borderId="14" xfId="0" applyBorder="1"/>
    <xf numFmtId="0" fontId="0" fillId="0" borderId="15" xfId="0" applyBorder="1"/>
    <xf numFmtId="0" fontId="2" fillId="0" borderId="12" xfId="0" applyFont="1" applyBorder="1"/>
    <xf numFmtId="0" fontId="18" fillId="4" borderId="0" xfId="0" applyFont="1" applyFill="1"/>
    <xf numFmtId="0" fontId="6" fillId="5" borderId="12" xfId="2" applyFont="1" applyBorder="1"/>
    <xf numFmtId="0" fontId="17" fillId="4" borderId="12" xfId="0" applyFont="1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3" xfId="0" applyFill="1" applyBorder="1"/>
    <xf numFmtId="14" fontId="0" fillId="0" borderId="0" xfId="0" applyNumberFormat="1"/>
    <xf numFmtId="0" fontId="0" fillId="13" borderId="0" xfId="0" applyFill="1"/>
    <xf numFmtId="0" fontId="0" fillId="0" borderId="11" xfId="0" applyBorder="1"/>
    <xf numFmtId="164" fontId="0" fillId="0" borderId="11" xfId="0" applyNumberFormat="1" applyBorder="1"/>
    <xf numFmtId="0" fontId="0" fillId="0" borderId="10" xfId="0" applyBorder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14" fontId="0" fillId="0" borderId="10" xfId="0" applyNumberFormat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10" borderId="0" xfId="0" applyFont="1" applyFill="1"/>
    <xf numFmtId="0" fontId="5" fillId="9" borderId="0" xfId="0" applyFont="1" applyFill="1"/>
    <xf numFmtId="0" fontId="0" fillId="3" borderId="12" xfId="0" applyFill="1" applyBorder="1"/>
    <xf numFmtId="0" fontId="2" fillId="0" borderId="13" xfId="0" applyFont="1" applyBorder="1"/>
    <xf numFmtId="0" fontId="19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center"/>
    </xf>
    <xf numFmtId="0" fontId="7" fillId="9" borderId="0" xfId="0" applyFont="1" applyFill="1"/>
    <xf numFmtId="0" fontId="12" fillId="9" borderId="0" xfId="0" applyFont="1" applyFill="1"/>
    <xf numFmtId="0" fontId="20" fillId="13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8" fillId="8" borderId="4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2" fillId="6" borderId="0" xfId="0" applyFont="1" applyFill="1" applyAlignment="1">
      <alignment vertical="top"/>
    </xf>
    <xf numFmtId="0" fontId="0" fillId="7" borderId="0" xfId="0" applyFill="1"/>
  </cellXfs>
  <cellStyles count="11">
    <cellStyle name="Accent1" xfId="2" builtinId="29"/>
    <cellStyle name="Comma" xfId="1" builtinId="3"/>
    <cellStyle name="Cost of Sales fill" xfId="10" xr:uid="{05440539-4D42-442F-A73D-B6C3A51CA8BD}"/>
    <cellStyle name="Currency [0] 2" xfId="4" xr:uid="{42C82FAD-AD53-43A2-9D3D-A443752DD0F0}"/>
    <cellStyle name="Heading 2 2" xfId="9" xr:uid="{43582427-2561-453F-B2AC-2D60B3C7AD63}"/>
    <cellStyle name="Heading 3 2" xfId="7" xr:uid="{2C344F54-EB99-4E78-A46D-68563A74CC55}"/>
    <cellStyle name="Normal" xfId="0" builtinId="0"/>
    <cellStyle name="Percent 2" xfId="3" xr:uid="{25F4A9A7-BCE0-496E-8388-1BCFAC57B89A}"/>
    <cellStyle name="Revenue fill" xfId="5" xr:uid="{EB970370-1B2B-4B7C-B57A-D4916BDE9F9D}"/>
    <cellStyle name="Table Details" xfId="6" xr:uid="{239E1F3E-EE20-4CD2-B48C-1AFDB63C53CC}"/>
    <cellStyle name="Title 2" xfId="8" xr:uid="{A583581F-614C-4208-916F-B9DDD80803A5}"/>
  </cellStyles>
  <dxfs count="191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_-* #,##0_-;\-* #,##0_-;_-* &quot;-&quot;??_-;_-@_-"/>
    </dxf>
    <dxf>
      <numFmt numFmtId="164" formatCode="_-* #,##0_-;\-* #,##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-* #,##0.0_-;\-* #,##0.0_-;_-* &quot;-&quot;??_-;_-@_-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_-;\-* #,##0_-;_-* &quot;-&quot;??_-;_-@_-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ill>
        <patternFill>
          <bgColor rgb="FF92D050"/>
        </patternFill>
      </fill>
    </dxf>
    <dxf>
      <border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</dxf>
    <dxf>
      <border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>
        <top style="thick">
          <color theme="0"/>
        </top>
        <vertical/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 diagonalUp="0" diagonalDown="0">
        <left/>
        <right/>
        <top/>
        <bottom style="thick">
          <color theme="6" tint="0.79998168889431442"/>
        </bottom>
        <vertical/>
        <horizontal/>
      </border>
    </dxf>
    <dxf>
      <border>
        <vertical/>
        <horizontal/>
      </border>
    </dxf>
    <dxf>
      <border>
        <left/>
        <right style="dotted">
          <color theme="5" tint="0.39991454817346722"/>
        </right>
        <top style="thin">
          <color theme="5" tint="0.39994506668294322"/>
        </top>
        <bottom style="thin">
          <color theme="5" tint="0.39994506668294322"/>
        </bottom>
        <vertical style="dotted">
          <color theme="5" tint="0.39994506668294322"/>
        </vertical>
        <horizontal style="thin">
          <color theme="5" tint="0.39994506668294322"/>
        </horizontal>
      </border>
    </dxf>
    <dxf>
      <border>
        <left/>
        <right style="dotted">
          <color theme="5" tint="0.39991454817346722"/>
        </right>
        <top style="thin">
          <color theme="5" tint="0.39994506668294322"/>
        </top>
        <bottom style="thin">
          <color theme="5" tint="0.39994506668294322"/>
        </bottom>
        <vertical style="dotted">
          <color theme="5" tint="0.39991454817346722"/>
        </vertical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>
        <top style="thick">
          <color theme="0"/>
        </top>
        <vertical/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 diagonalUp="0" diagonalDown="0">
        <left/>
        <right/>
        <top/>
        <bottom style="thick">
          <color theme="6" tint="0.79995117038483843"/>
        </bottom>
        <vertical/>
        <horizontal/>
      </border>
    </dxf>
    <dxf>
      <border>
        <vertical/>
        <horizontal/>
      </border>
    </dxf>
  </dxfs>
  <tableStyles count="2" defaultTableStyle="TableStyleMedium2" defaultPivotStyle="PivotStyleLight16">
    <tableStyle name="Profit &amp; Loss Revenue" pivot="0" count="5" xr9:uid="{3BE72461-C62E-442B-89FA-B9299EC029A5}">
      <tableStyleElement type="wholeTable" dxfId="190"/>
      <tableStyleElement type="headerRow" dxfId="189"/>
      <tableStyleElement type="totalRow" dxfId="188"/>
      <tableStyleElement type="firstRowStripe" dxfId="187"/>
      <tableStyleElement type="secondRowStripe" dxfId="186"/>
    </tableStyle>
    <tableStyle name="Profit &amp; Loss Sales" pivot="0" count="5" xr9:uid="{42970291-DE72-46ED-BBB1-94292E6F2E07}">
      <tableStyleElement type="wholeTable" dxfId="185"/>
      <tableStyleElement type="headerRow" dxfId="184"/>
      <tableStyleElement type="totalRow" dxfId="183"/>
      <tableStyleElement type="firstRowStripe" dxfId="182"/>
      <tableStyleElement type="secondRowStripe" dxfId="181"/>
    </tableStyle>
  </tableStyles>
  <colors>
    <mruColors>
      <color rgb="FF074F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[APMTool_Project2.xlsm]Cost Analysis!Total Expense by Application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Expense By Application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'Cost Analysis'!$B$7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'Cost Analysis'!$A$8:$A$25</c:f>
              <c:strCache>
                <c:ptCount val="17"/>
                <c:pt idx="0">
                  <c:v>Google Analytics</c:v>
                </c:pt>
                <c:pt idx="1">
                  <c:v>Hubspot CRM</c:v>
                </c:pt>
                <c:pt idx="2">
                  <c:v>IBM</c:v>
                </c:pt>
                <c:pt idx="3">
                  <c:v>LMS</c:v>
                </c:pt>
                <c:pt idx="4">
                  <c:v>Microsoft 365</c:v>
                </c:pt>
                <c:pt idx="5">
                  <c:v>Oracle</c:v>
                </c:pt>
                <c:pt idx="6">
                  <c:v>Outlook</c:v>
                </c:pt>
                <c:pt idx="7">
                  <c:v>Power BI</c:v>
                </c:pt>
                <c:pt idx="8">
                  <c:v>QuickBooks</c:v>
                </c:pt>
                <c:pt idx="9">
                  <c:v>Salesforce</c:v>
                </c:pt>
                <c:pt idx="10">
                  <c:v>SAP</c:v>
                </c:pt>
                <c:pt idx="11">
                  <c:v>Zoom</c:v>
                </c:pt>
                <c:pt idx="12">
                  <c:v>R</c:v>
                </c:pt>
                <c:pt idx="13">
                  <c:v>Python</c:v>
                </c:pt>
                <c:pt idx="14">
                  <c:v>Cisco</c:v>
                </c:pt>
                <c:pt idx="15">
                  <c:v>Zoom Pro</c:v>
                </c:pt>
                <c:pt idx="16">
                  <c:v>Tableau</c:v>
                </c:pt>
              </c:strCache>
            </c:strRef>
          </c:cat>
          <c:val>
            <c:numRef>
              <c:f>'Cost Analysis'!$B$8:$B$25</c:f>
              <c:numCache>
                <c:formatCode>_-* #,##0_-;\-* #,##0_-;_-* "-"??_-;_-@_-</c:formatCode>
                <c:ptCount val="17"/>
                <c:pt idx="0">
                  <c:v>48451</c:v>
                </c:pt>
                <c:pt idx="1">
                  <c:v>42000</c:v>
                </c:pt>
                <c:pt idx="2">
                  <c:v>12710</c:v>
                </c:pt>
                <c:pt idx="3">
                  <c:v>10480</c:v>
                </c:pt>
                <c:pt idx="4">
                  <c:v>5200</c:v>
                </c:pt>
                <c:pt idx="5">
                  <c:v>8100</c:v>
                </c:pt>
                <c:pt idx="6">
                  <c:v>14097</c:v>
                </c:pt>
                <c:pt idx="7">
                  <c:v>19503</c:v>
                </c:pt>
                <c:pt idx="8">
                  <c:v>360848</c:v>
                </c:pt>
                <c:pt idx="9">
                  <c:v>28000</c:v>
                </c:pt>
                <c:pt idx="10">
                  <c:v>75976</c:v>
                </c:pt>
                <c:pt idx="11">
                  <c:v>2400</c:v>
                </c:pt>
                <c:pt idx="12">
                  <c:v>1300</c:v>
                </c:pt>
                <c:pt idx="13">
                  <c:v>800</c:v>
                </c:pt>
                <c:pt idx="14">
                  <c:v>20706</c:v>
                </c:pt>
                <c:pt idx="15">
                  <c:v>2129</c:v>
                </c:pt>
                <c:pt idx="16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9-4EBF-9562-E9E21D0DF6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19193391"/>
        <c:axId val="919196751"/>
      </c:barChart>
      <c:catAx>
        <c:axId val="91919339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Application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196751"/>
        <c:crosses val="autoZero"/>
        <c:auto val="1"/>
        <c:lblAlgn val="ctr"/>
        <c:lblOffset val="100"/>
        <c:noMultiLvlLbl val="0"/>
      </c:catAx>
      <c:valAx>
        <c:axId val="9191967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Expense in GBP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19339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[APMTool_Project2.xlsm]Cost Analysis!Total Expenditure by Department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Expenditure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 Analysis'!$P$7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'Cost Analysis'!$O$8:$O$13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Marketing</c:v>
                </c:pt>
                <c:pt idx="3">
                  <c:v>Operation</c:v>
                </c:pt>
                <c:pt idx="4">
                  <c:v>Sales</c:v>
                </c:pt>
              </c:strCache>
            </c:strRef>
          </c:cat>
          <c:val>
            <c:numRef>
              <c:f>'Cost Analysis'!$P$8:$P$13</c:f>
              <c:numCache>
                <c:formatCode>_-* #,##0_-;\-* #,##0_-;_-* "-"??_-;_-@_-</c:formatCode>
                <c:ptCount val="5"/>
                <c:pt idx="0">
                  <c:v>70080</c:v>
                </c:pt>
                <c:pt idx="1">
                  <c:v>44497</c:v>
                </c:pt>
                <c:pt idx="2">
                  <c:v>119908</c:v>
                </c:pt>
                <c:pt idx="3">
                  <c:v>61161</c:v>
                </c:pt>
                <c:pt idx="4">
                  <c:v>358854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E-4B0D-8B48-ECAD2F8E8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4954031"/>
        <c:axId val="1074954991"/>
      </c:barChart>
      <c:catAx>
        <c:axId val="10749540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54991"/>
        <c:crosses val="autoZero"/>
        <c:auto val="1"/>
        <c:lblAlgn val="ctr"/>
        <c:lblOffset val="100"/>
        <c:noMultiLvlLbl val="0"/>
      </c:catAx>
      <c:valAx>
        <c:axId val="10749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Expenditure</a:t>
                </a:r>
                <a:r>
                  <a:rPr lang="en-US" sz="1400" b="1" baseline="0"/>
                  <a:t> in GBP</a:t>
                </a:r>
                <a:endParaRPr lang="en-US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5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[APMTool_Project2.xlsm]Cost Analysis!Count of Applications by Department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0" baseline="0">
                <a:solidFill>
                  <a:srgbClr val="0E284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baseline="0">
                <a:solidFill>
                  <a:srgbClr val="0E2841"/>
                </a:solidFill>
                <a:latin typeface="+mn-lt"/>
                <a:ea typeface="+mn-ea"/>
                <a:cs typeface="+mn-cs"/>
              </a:rPr>
              <a:t>Number of Applications used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0" baseline="0">
              <a:solidFill>
                <a:srgbClr val="0E284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'Cost Analysis'!$C$33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A9-4EBF-8FCA-45C866F0F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A9-4EBF-8FCA-45C866F0F26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A9-4EBF-8FCA-45C866F0F26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A9-4EBF-8FCA-45C866F0F26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A9-4EBF-8FCA-45C866F0F2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'Cost Analysis'!$B$34:$B$39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Marketing</c:v>
                </c:pt>
                <c:pt idx="3">
                  <c:v>Operation</c:v>
                </c:pt>
                <c:pt idx="4">
                  <c:v>Sales</c:v>
                </c:pt>
              </c:strCache>
            </c:strRef>
          </c:cat>
          <c:val>
            <c:numRef>
              <c:f>'Cost Analysis'!$C$34:$C$39</c:f>
              <c:numCache>
                <c:formatCode>General</c:formatCode>
                <c:ptCount val="5"/>
                <c:pt idx="0">
                  <c:v>4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A9-4EBF-8FCA-45C866F0F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0</xdr:row>
          <xdr:rowOff>68580</xdr:rowOff>
        </xdr:from>
        <xdr:to>
          <xdr:col>1</xdr:col>
          <xdr:colOff>243840</xdr:colOff>
          <xdr:row>2</xdr:row>
          <xdr:rowOff>129540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510540</xdr:colOff>
          <xdr:row>1</xdr:row>
          <xdr:rowOff>129540</xdr:rowOff>
        </xdr:from>
        <xdr:to>
          <xdr:col>4</xdr:col>
          <xdr:colOff>434340</xdr:colOff>
          <xdr:row>7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Applications Reaching End of Life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449580</xdr:colOff>
          <xdr:row>15</xdr:row>
          <xdr:rowOff>182880</xdr:rowOff>
        </xdr:from>
        <xdr:to>
          <xdr:col>4</xdr:col>
          <xdr:colOff>510540</xdr:colOff>
          <xdr:row>21</xdr:row>
          <xdr:rowOff>15240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Expired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197556</xdr:colOff>
      <xdr:row>5</xdr:row>
      <xdr:rowOff>163871</xdr:rowOff>
    </xdr:from>
    <xdr:to>
      <xdr:col>11</xdr:col>
      <xdr:colOff>434258</xdr:colOff>
      <xdr:row>26</xdr:row>
      <xdr:rowOff>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F78441-1B02-734C-6454-724FF9AF9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159926</xdr:colOff>
      <xdr:row>5</xdr:row>
      <xdr:rowOff>132497</xdr:rowOff>
    </xdr:from>
    <xdr:to>
      <xdr:col>22</xdr:col>
      <xdr:colOff>511745</xdr:colOff>
      <xdr:row>24</xdr:row>
      <xdr:rowOff>75258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D4AA2E-0CE4-5F3D-68A7-E9D4410E7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354419</xdr:colOff>
      <xdr:row>31</xdr:row>
      <xdr:rowOff>141768</xdr:rowOff>
    </xdr:from>
    <xdr:to>
      <xdr:col>9</xdr:col>
      <xdr:colOff>317400</xdr:colOff>
      <xdr:row>46</xdr:row>
      <xdr:rowOff>121811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B2589A-500D-48ED-9E41-E95F7D2A4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129540</xdr:rowOff>
        </xdr:from>
        <xdr:to>
          <xdr:col>11</xdr:col>
          <xdr:colOff>373380</xdr:colOff>
          <xdr:row>10</xdr:row>
          <xdr:rowOff>15240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Add Application Details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oma Khursheed" refreshedDate="45679.830173148148" createdVersion="8" refreshedVersion="8" minRefreshableVersion="3" recordCount="19" xr:uid="{34FB9B2B-1E90-4B2F-B98C-3A71A7B31AA9}">
  <cacheSource type="worksheet">
    <worksheetSource name="DynamicData"/>
  </cacheSource>
  <cacheFields count="8">
    <cacheField name="Application Name" numFmtId="0">
      <sharedItems count="19">
        <s v="LMS"/>
        <s v="R"/>
        <s v="Python"/>
        <s v="Hubspot CRM"/>
        <s v="Microsoft 365"/>
        <s v="Oracle"/>
        <s v="QuickBooks"/>
        <s v="Salesforce"/>
        <s v="SAP"/>
        <s v="Zoom"/>
        <s v="IBM"/>
        <s v="Outlook"/>
        <s v="Power BI"/>
        <s v="Google Analytics"/>
        <s v="Cisco"/>
        <s v="Zoom Pro"/>
        <s v="Tableau"/>
        <s v="Tablsaeu" u="1"/>
        <s v="Tablaeu" u="1"/>
      </sharedItems>
    </cacheField>
    <cacheField name="License Expiration Date" numFmtId="14">
      <sharedItems containsSemiMixedTypes="0" containsNonDate="0" containsDate="1" containsString="0" minDate="2023-01-05T00:00:00" maxDate="2026-07-06T00:00:00" count="21">
        <d v="2026-01-30T00:00:00"/>
        <d v="2026-05-07T00:00:00"/>
        <d v="2023-08-09T00:00:00"/>
        <d v="2025-04-04T00:00:00"/>
        <d v="2024-09-05T00:00:00"/>
        <d v="2025-01-31T00:00:00"/>
        <d v="2024-11-07T00:00:00"/>
        <d v="2025-01-01T00:00:00"/>
        <d v="2025-06-06T00:00:00"/>
        <d v="2023-09-06T00:00:00"/>
        <d v="2025-01-21T00:00:00"/>
        <d v="2023-01-05T00:00:00"/>
        <d v="2024-01-03T00:00:00"/>
        <d v="2025-05-08T00:00:00"/>
        <d v="2025-09-02T00:00:00"/>
        <d v="2024-09-09T00:00:00"/>
        <d v="2024-08-09T00:00:00"/>
        <d v="2026-03-03T00:00:00"/>
        <d v="2025-09-09T00:00:00" u="1"/>
        <d v="2026-07-05T00:00:00" u="1"/>
        <d v="2023-09-08T00:00:00" u="1"/>
      </sharedItems>
    </cacheField>
    <cacheField name="Last Update Recieved" numFmtId="14">
      <sharedItems containsSemiMixedTypes="0" containsNonDate="0" containsDate="1" containsString="0" minDate="2023-02-02T00:00:00" maxDate="2025-01-20T00:00:00" count="18">
        <d v="2025-01-01T00:00:00"/>
        <d v="2023-05-02T00:00:00"/>
        <d v="2025-01-19T00:00:00"/>
        <d v="2023-08-19T00:00:00"/>
        <d v="2024-12-20T00:00:00"/>
        <d v="2023-06-08T00:00:00"/>
        <d v="2024-06-20T00:00:00"/>
        <d v="2023-02-02T00:00:00"/>
        <d v="2024-09-07T00:00:00"/>
        <d v="2023-07-19T00:00:00"/>
        <d v="2023-03-04T00:00:00"/>
        <d v="2024-01-02T00:00:00"/>
        <d v="2024-06-12T00:00:00"/>
        <d v="2024-10-07T00:00:00"/>
        <d v="2023-05-07T00:00:00"/>
        <d v="2024-12-10T00:00:00"/>
        <d v="2024-03-04T00:00:00" u="1"/>
        <d v="2023-02-05T00:00:00" u="1"/>
      </sharedItems>
    </cacheField>
    <cacheField name="Department Name" numFmtId="0">
      <sharedItems count="5">
        <s v="Finance"/>
        <s v="Marketing"/>
        <s v="Sales"/>
        <s v="HR"/>
        <s v="Operation"/>
      </sharedItems>
    </cacheField>
    <cacheField name="Initial Cost" numFmtId="0">
      <sharedItems containsSemiMixedTypes="0" containsString="0" containsNumber="1" containsInteger="1" minValue="500" maxValue="30000"/>
    </cacheField>
    <cacheField name="Maintenance Cost" numFmtId="0">
      <sharedItems containsSemiMixedTypes="0" containsString="0" containsNumber="1" containsInteger="1" minValue="200" maxValue="299219"/>
    </cacheField>
    <cacheField name="Retirement Cost" numFmtId="0">
      <sharedItems containsSemiMixedTypes="0" containsString="0" containsNumber="1" containsInteger="1" minValue="100" maxValue="9392"/>
    </cacheField>
    <cacheField name="Total Cost of Ownership" numFmtId="0">
      <sharedItems containsSemiMixedTypes="0" containsString="0" containsNumber="1" containsInteger="1" minValue="800" maxValue="3373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n v="9200"/>
    <n v="500"/>
    <n v="780"/>
    <n v="10480"/>
  </r>
  <r>
    <x v="1"/>
    <x v="1"/>
    <x v="0"/>
    <x v="1"/>
    <n v="600"/>
    <n v="500"/>
    <n v="200"/>
    <n v="1300"/>
  </r>
  <r>
    <x v="2"/>
    <x v="2"/>
    <x v="1"/>
    <x v="2"/>
    <n v="500"/>
    <n v="200"/>
    <n v="100"/>
    <n v="800"/>
  </r>
  <r>
    <x v="3"/>
    <x v="3"/>
    <x v="2"/>
    <x v="1"/>
    <n v="30000"/>
    <n v="7000"/>
    <n v="5000"/>
    <n v="42000"/>
  </r>
  <r>
    <x v="4"/>
    <x v="4"/>
    <x v="0"/>
    <x v="1"/>
    <n v="3500"/>
    <n v="700"/>
    <n v="1000"/>
    <n v="5200"/>
  </r>
  <r>
    <x v="5"/>
    <x v="5"/>
    <x v="3"/>
    <x v="0"/>
    <n v="5000"/>
    <n v="1100"/>
    <n v="2000"/>
    <n v="8100"/>
  </r>
  <r>
    <x v="6"/>
    <x v="6"/>
    <x v="4"/>
    <x v="0"/>
    <n v="19000"/>
    <n v="2000"/>
    <n v="2500"/>
    <n v="23500"/>
  </r>
  <r>
    <x v="7"/>
    <x v="7"/>
    <x v="5"/>
    <x v="3"/>
    <n v="20000"/>
    <n v="5000"/>
    <n v="3000"/>
    <n v="28000"/>
  </r>
  <r>
    <x v="8"/>
    <x v="6"/>
    <x v="6"/>
    <x v="0"/>
    <n v="18000"/>
    <n v="6000"/>
    <n v="4000"/>
    <n v="28000"/>
  </r>
  <r>
    <x v="9"/>
    <x v="8"/>
    <x v="7"/>
    <x v="3"/>
    <n v="1200"/>
    <n v="300"/>
    <n v="900"/>
    <n v="2400"/>
  </r>
  <r>
    <x v="6"/>
    <x v="9"/>
    <x v="8"/>
    <x v="2"/>
    <n v="29838"/>
    <n v="299219"/>
    <n v="8291"/>
    <n v="337348"/>
  </r>
  <r>
    <x v="10"/>
    <x v="10"/>
    <x v="9"/>
    <x v="4"/>
    <n v="9282"/>
    <n v="2928"/>
    <n v="500"/>
    <n v="12710"/>
  </r>
  <r>
    <x v="11"/>
    <x v="11"/>
    <x v="10"/>
    <x v="3"/>
    <n v="3782"/>
    <n v="8392"/>
    <n v="1923"/>
    <n v="14097"/>
  </r>
  <r>
    <x v="8"/>
    <x v="12"/>
    <x v="11"/>
    <x v="1"/>
    <n v="29392"/>
    <n v="9192"/>
    <n v="9392"/>
    <n v="47976"/>
  </r>
  <r>
    <x v="12"/>
    <x v="13"/>
    <x v="12"/>
    <x v="1"/>
    <n v="9283"/>
    <n v="9392"/>
    <n v="828"/>
    <n v="19503"/>
  </r>
  <r>
    <x v="13"/>
    <x v="14"/>
    <x v="13"/>
    <x v="4"/>
    <n v="9393"/>
    <n v="38229"/>
    <n v="829"/>
    <n v="48451"/>
  </r>
  <r>
    <x v="14"/>
    <x v="15"/>
    <x v="8"/>
    <x v="2"/>
    <n v="9293"/>
    <n v="9393"/>
    <n v="2020"/>
    <n v="20706"/>
  </r>
  <r>
    <x v="15"/>
    <x v="16"/>
    <x v="14"/>
    <x v="1"/>
    <n v="829"/>
    <n v="900"/>
    <n v="400"/>
    <n v="2129"/>
  </r>
  <r>
    <x v="16"/>
    <x v="17"/>
    <x v="15"/>
    <x v="1"/>
    <n v="700"/>
    <n v="500"/>
    <n v="600"/>
    <n v="1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165523-1988-47D9-93F5-2D4C3DACAD19}" name="Status Pivot Table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H2:K21" firstHeaderRow="1" firstDataRow="1" firstDataCol="4"/>
  <pivotFields count="8">
    <pivotField axis="axisRow" compact="0" outline="0" showAll="0" defaultSubtotal="0">
      <items count="19">
        <item x="13"/>
        <item x="3"/>
        <item x="10"/>
        <item x="4"/>
        <item x="5"/>
        <item x="11"/>
        <item x="12"/>
        <item x="6"/>
        <item x="7"/>
        <item x="8"/>
        <item m="1" x="18"/>
        <item x="9"/>
        <item m="1" x="17"/>
        <item x="0"/>
        <item x="1"/>
        <item x="2"/>
        <item x="14"/>
        <item x="15"/>
        <item x="16"/>
      </items>
    </pivotField>
    <pivotField axis="axisRow" compact="0" numFmtId="14" outline="0" showAll="0" defaultSubtotal="0">
      <items count="21">
        <item x="11"/>
        <item x="9"/>
        <item x="12"/>
        <item x="4"/>
        <item x="6"/>
        <item x="7"/>
        <item x="10"/>
        <item x="5"/>
        <item x="3"/>
        <item x="13"/>
        <item x="8"/>
        <item x="14"/>
        <item m="1" x="18"/>
        <item x="0"/>
        <item m="1" x="19"/>
        <item m="1" x="20"/>
        <item x="1"/>
        <item x="2"/>
        <item x="15"/>
        <item x="16"/>
        <item x="17"/>
      </items>
    </pivotField>
    <pivotField axis="axisRow" compact="0" numFmtId="14" outline="0" showAll="0" defaultSubtotal="0">
      <items count="18">
        <item x="7"/>
        <item x="10"/>
        <item x="5"/>
        <item x="9"/>
        <item x="3"/>
        <item x="11"/>
        <item m="1" x="16"/>
        <item x="12"/>
        <item x="6"/>
        <item x="8"/>
        <item x="13"/>
        <item x="4"/>
        <item x="0"/>
        <item x="2"/>
        <item m="1" x="17"/>
        <item x="1"/>
        <item x="14"/>
        <item x="15"/>
      </items>
    </pivotField>
    <pivotField axis="axisRow" compact="0" outline="0" showAll="0" defaultSubtotal="0">
      <items count="5">
        <item x="0"/>
        <item x="3"/>
        <item x="1"/>
        <item x="4"/>
        <item x="2"/>
      </items>
    </pivotField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</pivotFields>
  <rowFields count="4">
    <field x="3"/>
    <field x="0"/>
    <field x="2"/>
    <field x="1"/>
  </rowFields>
  <rowItems count="19">
    <i>
      <x/>
      <x v="4"/>
      <x v="4"/>
      <x v="7"/>
    </i>
    <i r="1">
      <x v="7"/>
      <x v="11"/>
      <x v="4"/>
    </i>
    <i r="1">
      <x v="9"/>
      <x v="8"/>
      <x v="4"/>
    </i>
    <i r="1">
      <x v="13"/>
      <x v="12"/>
      <x v="13"/>
    </i>
    <i>
      <x v="1"/>
      <x v="5"/>
      <x v="1"/>
      <x/>
    </i>
    <i r="1">
      <x v="8"/>
      <x v="2"/>
      <x v="5"/>
    </i>
    <i r="1">
      <x v="11"/>
      <x/>
      <x v="10"/>
    </i>
    <i>
      <x v="2"/>
      <x v="1"/>
      <x v="13"/>
      <x v="8"/>
    </i>
    <i r="1">
      <x v="3"/>
      <x v="12"/>
      <x v="3"/>
    </i>
    <i r="1">
      <x v="6"/>
      <x v="7"/>
      <x v="9"/>
    </i>
    <i r="1">
      <x v="9"/>
      <x v="5"/>
      <x v="2"/>
    </i>
    <i r="1">
      <x v="14"/>
      <x v="12"/>
      <x v="16"/>
    </i>
    <i r="1">
      <x v="17"/>
      <x v="16"/>
      <x v="19"/>
    </i>
    <i r="1">
      <x v="18"/>
      <x v="17"/>
      <x v="20"/>
    </i>
    <i>
      <x v="3"/>
      <x/>
      <x v="10"/>
      <x v="11"/>
    </i>
    <i r="1">
      <x v="2"/>
      <x v="3"/>
      <x v="6"/>
    </i>
    <i>
      <x v="4"/>
      <x v="7"/>
      <x v="9"/>
      <x v="1"/>
    </i>
    <i r="1">
      <x v="15"/>
      <x v="15"/>
      <x v="17"/>
    </i>
    <i r="1">
      <x v="16"/>
      <x v="9"/>
      <x v="18"/>
    </i>
  </rowItems>
  <colItems count="1">
    <i/>
  </colItems>
  <formats count="137">
    <format dxfId="179">
      <pivotArea type="all" dataOnly="0" outline="0" fieldPosition="0"/>
    </format>
    <format dxfId="178">
      <pivotArea dataOnly="0" labelOnly="1" outline="0" fieldPosition="0">
        <references count="2">
          <reference field="0" count="3">
            <x v="4"/>
            <x v="7"/>
            <x v="9"/>
          </reference>
          <reference field="3" count="1" selected="0">
            <x v="0"/>
          </reference>
        </references>
      </pivotArea>
    </format>
    <format dxfId="177">
      <pivotArea dataOnly="0" labelOnly="1" outline="0" fieldPosition="0">
        <references count="2">
          <reference field="0" count="3">
            <x v="5"/>
            <x v="8"/>
            <x v="11"/>
          </reference>
          <reference field="3" count="1" selected="0">
            <x v="1"/>
          </reference>
        </references>
      </pivotArea>
    </format>
    <format dxfId="176">
      <pivotArea dataOnly="0" labelOnly="1" outline="0" fieldPosition="0">
        <references count="2">
          <reference field="0" count="4">
            <x v="1"/>
            <x v="3"/>
            <x v="6"/>
            <x v="9"/>
          </reference>
          <reference field="3" count="1" selected="0">
            <x v="2"/>
          </reference>
        </references>
      </pivotArea>
    </format>
    <format dxfId="175">
      <pivotArea dataOnly="0" labelOnly="1" outline="0" fieldPosition="0">
        <references count="2">
          <reference field="0" count="2">
            <x v="0"/>
            <x v="2"/>
          </reference>
          <reference field="3" count="1" selected="0">
            <x v="3"/>
          </reference>
        </references>
      </pivotArea>
    </format>
    <format dxfId="174">
      <pivotArea dataOnly="0" labelOnly="1" outline="0" fieldPosition="0">
        <references count="2">
          <reference field="0" count="2">
            <x v="7"/>
            <x v="10"/>
          </reference>
          <reference field="3" count="1" selected="0">
            <x v="4"/>
          </reference>
        </references>
      </pivotArea>
    </format>
    <format dxfId="173">
      <pivotArea dataOnly="0" labelOnly="1" outline="0" fieldPosition="0">
        <references count="3">
          <reference field="0" count="1" selected="0">
            <x v="4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172">
      <pivotArea dataOnly="0" labelOnly="1" outline="0" fieldPosition="0">
        <references count="3">
          <reference field="0" count="1" selected="0">
            <x v="7"/>
          </reference>
          <reference field="2" count="1">
            <x v="11"/>
          </reference>
          <reference field="3" count="1" selected="0">
            <x v="0"/>
          </reference>
        </references>
      </pivotArea>
    </format>
    <format dxfId="171">
      <pivotArea dataOnly="0" labelOnly="1" outline="0" fieldPosition="0">
        <references count="3">
          <reference field="0" count="1" selected="0">
            <x v="9"/>
          </reference>
          <reference field="2" count="1">
            <x v="8"/>
          </reference>
          <reference field="3" count="1" selected="0">
            <x v="0"/>
          </reference>
        </references>
      </pivotArea>
    </format>
    <format dxfId="170">
      <pivotArea dataOnly="0" labelOnly="1" outline="0" fieldPosition="0">
        <references count="3">
          <reference field="0" count="1" selected="0">
            <x v="5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169">
      <pivotArea dataOnly="0" labelOnly="1" outline="0" fieldPosition="0">
        <references count="3">
          <reference field="0" count="1" selected="0">
            <x v="8"/>
          </reference>
          <reference field="2" count="1">
            <x v="2"/>
          </reference>
          <reference field="3" count="1" selected="0">
            <x v="1"/>
          </reference>
        </references>
      </pivotArea>
    </format>
    <format dxfId="168">
      <pivotArea dataOnly="0" labelOnly="1" outline="0" fieldPosition="0">
        <references count="3">
          <reference field="0" count="1" selected="0">
            <x v="11"/>
          </reference>
          <reference field="2" count="1">
            <x v="0"/>
          </reference>
          <reference field="3" count="1" selected="0">
            <x v="1"/>
          </reference>
        </references>
      </pivotArea>
    </format>
    <format dxfId="167">
      <pivotArea dataOnly="0" labelOnly="1" outline="0" fieldPosition="0">
        <references count="3">
          <reference field="0" count="1" selected="0">
            <x v="1"/>
          </reference>
          <reference field="2" count="1">
            <x v="13"/>
          </reference>
          <reference field="3" count="1" selected="0">
            <x v="2"/>
          </reference>
        </references>
      </pivotArea>
    </format>
    <format dxfId="166">
      <pivotArea dataOnly="0" labelOnly="1" outline="0" fieldPosition="0">
        <references count="3">
          <reference field="0" count="1" selected="0">
            <x v="3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165">
      <pivotArea dataOnly="0" labelOnly="1" outline="0" fieldPosition="0">
        <references count="3">
          <reference field="0" count="1" selected="0">
            <x v="6"/>
          </reference>
          <reference field="2" count="1">
            <x v="7"/>
          </reference>
          <reference field="3" count="1" selected="0">
            <x v="2"/>
          </reference>
        </references>
      </pivotArea>
    </format>
    <format dxfId="164">
      <pivotArea dataOnly="0" labelOnly="1" outline="0" fieldPosition="0">
        <references count="3">
          <reference field="0" count="1" selected="0">
            <x v="9"/>
          </reference>
          <reference field="2" count="1">
            <x v="5"/>
          </reference>
          <reference field="3" count="1" selected="0">
            <x v="2"/>
          </reference>
        </references>
      </pivotArea>
    </format>
    <format dxfId="163">
      <pivotArea dataOnly="0" labelOnly="1" outline="0" fieldPosition="0">
        <references count="3">
          <reference field="0" count="1" selected="0">
            <x v="0"/>
          </reference>
          <reference field="2" count="1">
            <x v="10"/>
          </reference>
          <reference field="3" count="1" selected="0">
            <x v="3"/>
          </reference>
        </references>
      </pivotArea>
    </format>
    <format dxfId="162">
      <pivotArea dataOnly="0" labelOnly="1" outline="0" fieldPosition="0">
        <references count="3">
          <reference field="0" count="1" selected="0">
            <x v="2"/>
          </reference>
          <reference field="2" count="1">
            <x v="3"/>
          </reference>
          <reference field="3" count="1" selected="0">
            <x v="3"/>
          </reference>
        </references>
      </pivotArea>
    </format>
    <format dxfId="161">
      <pivotArea dataOnly="0" labelOnly="1" outline="0" fieldPosition="0">
        <references count="3">
          <reference field="0" count="1" selected="0">
            <x v="7"/>
          </reference>
          <reference field="2" count="1">
            <x v="9"/>
          </reference>
          <reference field="3" count="1" selected="0">
            <x v="4"/>
          </reference>
        </references>
      </pivotArea>
    </format>
    <format dxfId="160">
      <pivotArea dataOnly="0" labelOnly="1" outline="0" fieldPosition="0">
        <references count="3">
          <reference field="0" count="1" selected="0">
            <x v="10"/>
          </reference>
          <reference field="2" count="1">
            <x v="6"/>
          </reference>
          <reference field="3" count="1" selected="0">
            <x v="4"/>
          </reference>
        </references>
      </pivotArea>
    </format>
    <format dxfId="159">
      <pivotArea dataOnly="0" labelOnly="1" outline="0" fieldPosition="0">
        <references count="4">
          <reference field="0" count="1" selected="0">
            <x v="4"/>
          </reference>
          <reference field="1" count="1">
            <x v="7"/>
          </reference>
          <reference field="2" count="1" selected="0">
            <x v="4"/>
          </reference>
          <reference field="3" count="1" selected="0">
            <x v="0"/>
          </reference>
        </references>
      </pivotArea>
    </format>
    <format dxfId="158">
      <pivotArea dataOnly="0" labelOnly="1" outline="0" fieldPosition="0">
        <references count="4">
          <reference field="0" count="1" selected="0">
            <x v="7"/>
          </reference>
          <reference field="1" count="1">
            <x v="4"/>
          </reference>
          <reference field="2" count="1" selected="0">
            <x v="11"/>
          </reference>
          <reference field="3" count="1" selected="0">
            <x v="0"/>
          </reference>
        </references>
      </pivotArea>
    </format>
    <format dxfId="157">
      <pivotArea dataOnly="0" labelOnly="1" outline="0" fieldPosition="0">
        <references count="4">
          <reference field="0" count="1" selected="0">
            <x v="9"/>
          </reference>
          <reference field="1" count="1">
            <x v="4"/>
          </reference>
          <reference field="2" count="1" selected="0">
            <x v="8"/>
          </reference>
          <reference field="3" count="1" selected="0">
            <x v="0"/>
          </reference>
        </references>
      </pivotArea>
    </format>
    <format dxfId="156">
      <pivotArea dataOnly="0" labelOnly="1" outline="0" fieldPosition="0">
        <references count="4">
          <reference field="0" count="1" selected="0">
            <x v="5"/>
          </reference>
          <reference field="1" count="1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155">
      <pivotArea dataOnly="0" labelOnly="1" outline="0" fieldPosition="0">
        <references count="4">
          <reference field="0" count="1" selected="0">
            <x v="8"/>
          </reference>
          <reference field="1" count="1">
            <x v="5"/>
          </reference>
          <reference field="2" count="1" selected="0">
            <x v="2"/>
          </reference>
          <reference field="3" count="1" selected="0">
            <x v="1"/>
          </reference>
        </references>
      </pivotArea>
    </format>
    <format dxfId="154">
      <pivotArea dataOnly="0" labelOnly="1" outline="0" fieldPosition="0">
        <references count="4">
          <reference field="0" count="1" selected="0">
            <x v="11"/>
          </reference>
          <reference field="1" count="1">
            <x v="10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153">
      <pivotArea dataOnly="0" labelOnly="1" outline="0" fieldPosition="0">
        <references count="4">
          <reference field="0" count="1" selected="0">
            <x v="1"/>
          </reference>
          <reference field="1" count="1">
            <x v="8"/>
          </reference>
          <reference field="2" count="1" selected="0">
            <x v="13"/>
          </reference>
          <reference field="3" count="1" selected="0">
            <x v="2"/>
          </reference>
        </references>
      </pivotArea>
    </format>
    <format dxfId="152">
      <pivotArea dataOnly="0" labelOnly="1" outline="0" fieldPosition="0">
        <references count="4">
          <reference field="0" count="1" selected="0">
            <x v="3"/>
          </reference>
          <reference field="1" count="1">
            <x v="3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151">
      <pivotArea dataOnly="0" labelOnly="1" outline="0" fieldPosition="0">
        <references count="4">
          <reference field="0" count="1" selected="0">
            <x v="6"/>
          </reference>
          <reference field="1" count="1">
            <x v="9"/>
          </reference>
          <reference field="2" count="1" selected="0">
            <x v="7"/>
          </reference>
          <reference field="3" count="1" selected="0">
            <x v="2"/>
          </reference>
        </references>
      </pivotArea>
    </format>
    <format dxfId="150">
      <pivotArea dataOnly="0" labelOnly="1" outline="0" fieldPosition="0">
        <references count="4">
          <reference field="0" count="1" selected="0">
            <x v="9"/>
          </reference>
          <reference field="1" count="1">
            <x v="2"/>
          </reference>
          <reference field="2" count="1" selected="0">
            <x v="5"/>
          </reference>
          <reference field="3" count="1" selected="0">
            <x v="2"/>
          </reference>
        </references>
      </pivotArea>
    </format>
    <format dxfId="149">
      <pivotArea dataOnly="0" labelOnly="1" outline="0" fieldPosition="0">
        <references count="4">
          <reference field="0" count="1" selected="0">
            <x v="0"/>
          </reference>
          <reference field="1" count="1">
            <x v="11"/>
          </reference>
          <reference field="2" count="1" selected="0">
            <x v="10"/>
          </reference>
          <reference field="3" count="1" selected="0">
            <x v="3"/>
          </reference>
        </references>
      </pivotArea>
    </format>
    <format dxfId="148">
      <pivotArea dataOnly="0" labelOnly="1" outline="0" fieldPosition="0">
        <references count="4">
          <reference field="0" count="1" selected="0">
            <x v="2"/>
          </reference>
          <reference field="1" count="1">
            <x v="6"/>
          </reference>
          <reference field="2" count="1" selected="0">
            <x v="3"/>
          </reference>
          <reference field="3" count="1" selected="0">
            <x v="3"/>
          </reference>
        </references>
      </pivotArea>
    </format>
    <format dxfId="147">
      <pivotArea dataOnly="0" labelOnly="1" outline="0" fieldPosition="0">
        <references count="4">
          <reference field="0" count="1" selected="0">
            <x v="7"/>
          </reference>
          <reference field="1" count="1">
            <x v="1"/>
          </reference>
          <reference field="2" count="1" selected="0">
            <x v="9"/>
          </reference>
          <reference field="3" count="1" selected="0">
            <x v="4"/>
          </reference>
        </references>
      </pivotArea>
    </format>
    <format dxfId="146">
      <pivotArea dataOnly="0" labelOnly="1" outline="0" fieldPosition="0">
        <references count="4">
          <reference field="0" count="1" selected="0">
            <x v="10"/>
          </reference>
          <reference field="1" count="1">
            <x v="12"/>
          </reference>
          <reference field="2" count="1" selected="0">
            <x v="6"/>
          </reference>
          <reference field="3" count="1" selected="0">
            <x v="4"/>
          </reference>
        </references>
      </pivotArea>
    </format>
    <format dxfId="145">
      <pivotArea field="3" type="button" dataOnly="0" labelOnly="1" outline="0" axis="axisRow" fieldPosition="0"/>
    </format>
    <format dxfId="144">
      <pivotArea field="0" type="button" dataOnly="0" labelOnly="1" outline="0" axis="axisRow" fieldPosition="1"/>
    </format>
    <format dxfId="143">
      <pivotArea field="2" type="button" dataOnly="0" labelOnly="1" outline="0" axis="axisRow" fieldPosition="2"/>
    </format>
    <format dxfId="142">
      <pivotArea field="1" type="button" dataOnly="0" labelOnly="1" outline="0" axis="axisRow" fieldPosition="3"/>
    </format>
    <format dxfId="141">
      <pivotArea dataOnly="0" labelOnly="1" outline="0" fieldPosition="0">
        <references count="1">
          <reference field="3" count="0"/>
        </references>
      </pivotArea>
    </format>
    <format dxfId="140">
      <pivotArea field="3" type="button" dataOnly="0" labelOnly="1" outline="0" axis="axisRow" fieldPosition="0"/>
    </format>
    <format dxfId="139">
      <pivotArea field="0" type="button" dataOnly="0" labelOnly="1" outline="0" axis="axisRow" fieldPosition="1"/>
    </format>
    <format dxfId="138">
      <pivotArea field="2" type="button" dataOnly="0" labelOnly="1" outline="0" axis="axisRow" fieldPosition="2"/>
    </format>
    <format dxfId="137">
      <pivotArea field="1" type="button" dataOnly="0" labelOnly="1" outline="0" axis="axisRow" fieldPosition="3"/>
    </format>
    <format dxfId="136">
      <pivotArea field="3" type="button" dataOnly="0" labelOnly="1" outline="0" axis="axisRow" fieldPosition="0"/>
    </format>
    <format dxfId="135">
      <pivotArea field="0" type="button" dataOnly="0" labelOnly="1" outline="0" axis="axisRow" fieldPosition="1"/>
    </format>
    <format dxfId="134">
      <pivotArea field="2" type="button" dataOnly="0" labelOnly="1" outline="0" axis="axisRow" fieldPosition="2"/>
    </format>
    <format dxfId="133">
      <pivotArea field="1" type="button" dataOnly="0" labelOnly="1" outline="0" axis="axisRow" fieldPosition="3"/>
    </format>
    <format dxfId="132">
      <pivotArea type="all" dataOnly="0" outline="0" fieldPosition="0"/>
    </format>
    <format dxfId="131">
      <pivotArea field="3" type="button" dataOnly="0" labelOnly="1" outline="0" axis="axisRow" fieldPosition="0"/>
    </format>
    <format dxfId="130">
      <pivotArea field="0" type="button" dataOnly="0" labelOnly="1" outline="0" axis="axisRow" fieldPosition="1"/>
    </format>
    <format dxfId="129">
      <pivotArea field="2" type="button" dataOnly="0" labelOnly="1" outline="0" axis="axisRow" fieldPosition="2"/>
    </format>
    <format dxfId="128">
      <pivotArea field="1" type="button" dataOnly="0" labelOnly="1" outline="0" axis="axisRow" fieldPosition="3"/>
    </format>
    <format dxfId="127">
      <pivotArea dataOnly="0" labelOnly="1" outline="0" fieldPosition="0">
        <references count="1">
          <reference field="3" count="0"/>
        </references>
      </pivotArea>
    </format>
    <format dxfId="126">
      <pivotArea dataOnly="0" labelOnly="1" outline="0" fieldPosition="0">
        <references count="2">
          <reference field="0" count="4">
            <x v="4"/>
            <x v="7"/>
            <x v="9"/>
            <x v="13"/>
          </reference>
          <reference field="3" count="1" selected="0">
            <x v="0"/>
          </reference>
        </references>
      </pivotArea>
    </format>
    <format dxfId="125">
      <pivotArea dataOnly="0" labelOnly="1" outline="0" fieldPosition="0">
        <references count="2">
          <reference field="0" count="3">
            <x v="5"/>
            <x v="8"/>
            <x v="11"/>
          </reference>
          <reference field="3" count="1" selected="0">
            <x v="1"/>
          </reference>
        </references>
      </pivotArea>
    </format>
    <format dxfId="124">
      <pivotArea dataOnly="0" labelOnly="1" outline="0" fieldPosition="0">
        <references count="2">
          <reference field="0" count="5">
            <x v="1"/>
            <x v="3"/>
            <x v="6"/>
            <x v="9"/>
            <x v="14"/>
          </reference>
          <reference field="3" count="1" selected="0">
            <x v="2"/>
          </reference>
        </references>
      </pivotArea>
    </format>
    <format dxfId="123">
      <pivotArea dataOnly="0" labelOnly="1" outline="0" fieldPosition="0">
        <references count="2">
          <reference field="0" count="2">
            <x v="0"/>
            <x v="2"/>
          </reference>
          <reference field="3" count="1" selected="0">
            <x v="3"/>
          </reference>
        </references>
      </pivotArea>
    </format>
    <format dxfId="122">
      <pivotArea dataOnly="0" labelOnly="1" outline="0" fieldPosition="0">
        <references count="2">
          <reference field="0" count="3">
            <x v="7"/>
            <x v="12"/>
            <x v="15"/>
          </reference>
          <reference field="3" count="1" selected="0">
            <x v="4"/>
          </reference>
        </references>
      </pivotArea>
    </format>
    <format dxfId="121">
      <pivotArea dataOnly="0" labelOnly="1" outline="0" fieldPosition="0">
        <references count="3">
          <reference field="0" count="1" selected="0">
            <x v="4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120">
      <pivotArea dataOnly="0" labelOnly="1" outline="0" fieldPosition="0">
        <references count="3">
          <reference field="0" count="1" selected="0">
            <x v="7"/>
          </reference>
          <reference field="2" count="1">
            <x v="11"/>
          </reference>
          <reference field="3" count="1" selected="0">
            <x v="0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9"/>
          </reference>
          <reference field="2" count="1">
            <x v="8"/>
          </reference>
          <reference field="3" count="1" selected="0">
            <x v="0"/>
          </reference>
        </references>
      </pivotArea>
    </format>
    <format dxfId="118">
      <pivotArea dataOnly="0" labelOnly="1" outline="0" fieldPosition="0">
        <references count="3">
          <reference field="0" count="1" selected="0">
            <x v="13"/>
          </reference>
          <reference field="2" count="1">
            <x v="12"/>
          </reference>
          <reference field="3" count="1" selected="0">
            <x v="0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5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8"/>
          </reference>
          <reference field="2" count="1">
            <x v="2"/>
          </reference>
          <reference field="3" count="1" selected="0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11"/>
          </reference>
          <reference field="2" count="1">
            <x v="0"/>
          </reference>
          <reference field="3" count="1" selected="0">
            <x v="1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1"/>
          </reference>
          <reference field="2" count="1">
            <x v="13"/>
          </reference>
          <reference field="3" count="1" selected="0"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3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6"/>
          </reference>
          <reference field="2" count="1">
            <x v="7"/>
          </reference>
          <reference field="3" count="1" selected="0">
            <x v="2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9"/>
          </reference>
          <reference field="2" count="1">
            <x v="5"/>
          </reference>
          <reference field="3" count="1" selected="0">
            <x v="2"/>
          </reference>
        </references>
      </pivotArea>
    </format>
    <format dxfId="110">
      <pivotArea dataOnly="0" labelOnly="1" outline="0" fieldPosition="0">
        <references count="3">
          <reference field="0" count="1" selected="0">
            <x v="14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109">
      <pivotArea dataOnly="0" labelOnly="1" outline="0" fieldPosition="0">
        <references count="3">
          <reference field="0" count="1" selected="0">
            <x v="0"/>
          </reference>
          <reference field="2" count="1">
            <x v="10"/>
          </reference>
          <reference field="3" count="1" selected="0">
            <x v="3"/>
          </reference>
        </references>
      </pivotArea>
    </format>
    <format dxfId="108">
      <pivotArea dataOnly="0" labelOnly="1" outline="0" fieldPosition="0">
        <references count="3">
          <reference field="0" count="1" selected="0">
            <x v="2"/>
          </reference>
          <reference field="2" count="1">
            <x v="3"/>
          </reference>
          <reference field="3" count="1" selected="0">
            <x v="3"/>
          </reference>
        </references>
      </pivotArea>
    </format>
    <format dxfId="107">
      <pivotArea dataOnly="0" labelOnly="1" outline="0" fieldPosition="0">
        <references count="3">
          <reference field="0" count="1" selected="0">
            <x v="7"/>
          </reference>
          <reference field="2" count="1">
            <x v="9"/>
          </reference>
          <reference field="3" count="1" selected="0">
            <x v="4"/>
          </reference>
        </references>
      </pivotArea>
    </format>
    <format dxfId="106">
      <pivotArea dataOnly="0" labelOnly="1" outline="0" fieldPosition="0">
        <references count="3">
          <reference field="0" count="1" selected="0">
            <x v="12"/>
          </reference>
          <reference field="2" count="1">
            <x v="6"/>
          </reference>
          <reference field="3" count="1" selected="0">
            <x v="4"/>
          </reference>
        </references>
      </pivotArea>
    </format>
    <format dxfId="105">
      <pivotArea dataOnly="0" labelOnly="1" outline="0" fieldPosition="0">
        <references count="3">
          <reference field="0" count="1" selected="0">
            <x v="15"/>
          </reference>
          <reference field="2" count="1">
            <x v="14"/>
          </reference>
          <reference field="3" count="1" selected="0">
            <x v="4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4"/>
          </reference>
          <reference field="1" count="1">
            <x v="7"/>
          </reference>
          <reference field="2" count="1" selected="0">
            <x v="4"/>
          </reference>
          <reference field="3" count="1" selected="0">
            <x v="0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7"/>
          </reference>
          <reference field="1" count="1">
            <x v="4"/>
          </reference>
          <reference field="2" count="1" selected="0">
            <x v="11"/>
          </reference>
          <reference field="3" count="1" selected="0">
            <x v="0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9"/>
          </reference>
          <reference field="1" count="1">
            <x v="4"/>
          </reference>
          <reference field="2" count="1" selected="0">
            <x v="8"/>
          </reference>
          <reference field="3" count="1" selected="0">
            <x v="0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13"/>
          </reference>
          <reference field="1" count="1">
            <x v="13"/>
          </reference>
          <reference field="2" count="1" selected="0">
            <x v="12"/>
          </reference>
          <reference field="3" count="1" selected="0">
            <x v="0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5"/>
          </reference>
          <reference field="1" count="1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8"/>
          </reference>
          <reference field="1" count="1">
            <x v="5"/>
          </reference>
          <reference field="2" count="1" selected="0">
            <x v="2"/>
          </reference>
          <reference field="3" count="1" selected="0">
            <x v="1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11"/>
          </reference>
          <reference field="1" count="1">
            <x v="10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1"/>
          </reference>
          <reference field="1" count="1">
            <x v="8"/>
          </reference>
          <reference field="2" count="1" selected="0">
            <x v="13"/>
          </reference>
          <reference field="3" count="1" selected="0">
            <x v="2"/>
          </reference>
        </references>
      </pivotArea>
    </format>
    <format dxfId="96">
      <pivotArea dataOnly="0" labelOnly="1" outline="0" fieldPosition="0">
        <references count="4">
          <reference field="0" count="1" selected="0">
            <x v="3"/>
          </reference>
          <reference field="1" count="1">
            <x v="3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95">
      <pivotArea dataOnly="0" labelOnly="1" outline="0" fieldPosition="0">
        <references count="4">
          <reference field="0" count="1" selected="0">
            <x v="6"/>
          </reference>
          <reference field="1" count="1">
            <x v="9"/>
          </reference>
          <reference field="2" count="1" selected="0">
            <x v="7"/>
          </reference>
          <reference field="3" count="1" selected="0">
            <x v="2"/>
          </reference>
        </references>
      </pivotArea>
    </format>
    <format dxfId="94">
      <pivotArea dataOnly="0" labelOnly="1" outline="0" fieldPosition="0">
        <references count="4">
          <reference field="0" count="1" selected="0">
            <x v="9"/>
          </reference>
          <reference field="1" count="1">
            <x v="2"/>
          </reference>
          <reference field="2" count="1" selected="0">
            <x v="5"/>
          </reference>
          <reference field="3" count="1" selected="0">
            <x v="2"/>
          </reference>
        </references>
      </pivotArea>
    </format>
    <format dxfId="93">
      <pivotArea dataOnly="0" labelOnly="1" outline="0" fieldPosition="0">
        <references count="4">
          <reference field="0" count="1" selected="0">
            <x v="14"/>
          </reference>
          <reference field="1" count="1">
            <x v="14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92">
      <pivotArea dataOnly="0" labelOnly="1" outline="0" fieldPosition="0">
        <references count="4">
          <reference field="0" count="1" selected="0">
            <x v="0"/>
          </reference>
          <reference field="1" count="1">
            <x v="11"/>
          </reference>
          <reference field="2" count="1" selected="0">
            <x v="10"/>
          </reference>
          <reference field="3" count="1" selected="0">
            <x v="3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2"/>
          </reference>
          <reference field="1" count="1">
            <x v="6"/>
          </reference>
          <reference field="2" count="1" selected="0">
            <x v="3"/>
          </reference>
          <reference field="3" count="1" selected="0">
            <x v="3"/>
          </reference>
        </references>
      </pivotArea>
    </format>
    <format dxfId="90">
      <pivotArea dataOnly="0" labelOnly="1" outline="0" fieldPosition="0">
        <references count="4">
          <reference field="0" count="1" selected="0">
            <x v="7"/>
          </reference>
          <reference field="1" count="1">
            <x v="1"/>
          </reference>
          <reference field="2" count="1" selected="0">
            <x v="9"/>
          </reference>
          <reference field="3" count="1" selected="0">
            <x v="4"/>
          </reference>
        </references>
      </pivotArea>
    </format>
    <format dxfId="89">
      <pivotArea dataOnly="0" labelOnly="1" outline="0" fieldPosition="0">
        <references count="4">
          <reference field="0" count="1" selected="0">
            <x v="12"/>
          </reference>
          <reference field="1" count="1">
            <x v="12"/>
          </reference>
          <reference field="2" count="1" selected="0">
            <x v="6"/>
          </reference>
          <reference field="3" count="1" selected="0">
            <x v="4"/>
          </reference>
        </references>
      </pivotArea>
    </format>
    <format dxfId="88">
      <pivotArea dataOnly="0" labelOnly="1" outline="0" fieldPosition="0">
        <references count="4">
          <reference field="0" count="1" selected="0">
            <x v="15"/>
          </reference>
          <reference field="1" count="1">
            <x v="15"/>
          </reference>
          <reference field="2" count="1" selected="0">
            <x v="14"/>
          </reference>
          <reference field="3" count="1" selected="0">
            <x v="4"/>
          </reference>
        </references>
      </pivotArea>
    </format>
    <format dxfId="87">
      <pivotArea type="all" dataOnly="0" outline="0" fieldPosition="0"/>
    </format>
    <format dxfId="86">
      <pivotArea field="3" type="button" dataOnly="0" labelOnly="1" outline="0" axis="axisRow" fieldPosition="0"/>
    </format>
    <format dxfId="85">
      <pivotArea field="0" type="button" dataOnly="0" labelOnly="1" outline="0" axis="axisRow" fieldPosition="1"/>
    </format>
    <format dxfId="84">
      <pivotArea field="2" type="button" dataOnly="0" labelOnly="1" outline="0" axis="axisRow" fieldPosition="2"/>
    </format>
    <format dxfId="83">
      <pivotArea field="1" type="button" dataOnly="0" labelOnly="1" outline="0" axis="axisRow" fieldPosition="3"/>
    </format>
    <format dxfId="82">
      <pivotArea dataOnly="0" labelOnly="1" outline="0" fieldPosition="0">
        <references count="1">
          <reference field="3" count="0"/>
        </references>
      </pivotArea>
    </format>
    <format dxfId="81">
      <pivotArea dataOnly="0" labelOnly="1" outline="0" fieldPosition="0">
        <references count="2">
          <reference field="0" count="4">
            <x v="4"/>
            <x v="7"/>
            <x v="9"/>
            <x v="13"/>
          </reference>
          <reference field="3" count="1" selected="0">
            <x v="0"/>
          </reference>
        </references>
      </pivotArea>
    </format>
    <format dxfId="80">
      <pivotArea dataOnly="0" labelOnly="1" outline="0" fieldPosition="0">
        <references count="2">
          <reference field="0" count="3">
            <x v="5"/>
            <x v="8"/>
            <x v="11"/>
          </reference>
          <reference field="3" count="1" selected="0">
            <x v="1"/>
          </reference>
        </references>
      </pivotArea>
    </format>
    <format dxfId="79">
      <pivotArea dataOnly="0" labelOnly="1" outline="0" fieldPosition="0">
        <references count="2">
          <reference field="0" count="5">
            <x v="1"/>
            <x v="3"/>
            <x v="6"/>
            <x v="9"/>
            <x v="14"/>
          </reference>
          <reference field="3" count="1" selected="0">
            <x v="2"/>
          </reference>
        </references>
      </pivotArea>
    </format>
    <format dxfId="78">
      <pivotArea dataOnly="0" labelOnly="1" outline="0" fieldPosition="0">
        <references count="2">
          <reference field="0" count="2">
            <x v="0"/>
            <x v="2"/>
          </reference>
          <reference field="3" count="1" selected="0">
            <x v="3"/>
          </reference>
        </references>
      </pivotArea>
    </format>
    <format dxfId="77">
      <pivotArea dataOnly="0" labelOnly="1" outline="0" fieldPosition="0">
        <references count="2">
          <reference field="0" count="3">
            <x v="7"/>
            <x v="12"/>
            <x v="15"/>
          </reference>
          <reference field="3" count="1" selected="0">
            <x v="4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4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7"/>
          </reference>
          <reference field="2" count="1">
            <x v="11"/>
          </reference>
          <reference field="3" count="1" selected="0">
            <x v="0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9"/>
          </reference>
          <reference field="2" count="1">
            <x v="8"/>
          </reference>
          <reference field="3" count="1" selected="0">
            <x v="0"/>
          </reference>
        </references>
      </pivotArea>
    </format>
    <format dxfId="73">
      <pivotArea dataOnly="0" labelOnly="1" outline="0" fieldPosition="0">
        <references count="3">
          <reference field="0" count="1" selected="0">
            <x v="13"/>
          </reference>
          <reference field="2" count="1">
            <x v="12"/>
          </reference>
          <reference field="3" count="1" selected="0">
            <x v="0"/>
          </reference>
        </references>
      </pivotArea>
    </format>
    <format dxfId="72">
      <pivotArea dataOnly="0" labelOnly="1" outline="0" fieldPosition="0">
        <references count="3">
          <reference field="0" count="1" selected="0">
            <x v="5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8"/>
          </reference>
          <reference field="2" count="1">
            <x v="2"/>
          </reference>
          <reference field="3" count="1" selected="0">
            <x v="1"/>
          </reference>
        </references>
      </pivotArea>
    </format>
    <format dxfId="70">
      <pivotArea dataOnly="0" labelOnly="1" outline="0" fieldPosition="0">
        <references count="3">
          <reference field="0" count="1" selected="0">
            <x v="11"/>
          </reference>
          <reference field="2" count="1">
            <x v="0"/>
          </reference>
          <reference field="3" count="1" selected="0">
            <x v="1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1"/>
          </reference>
          <reference field="2" count="1">
            <x v="13"/>
          </reference>
          <reference field="3" count="1" selected="0">
            <x v="2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3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6"/>
          </reference>
          <reference field="2" count="1">
            <x v="7"/>
          </reference>
          <reference field="3" count="1" selected="0">
            <x v="2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9"/>
          </reference>
          <reference field="2" count="1">
            <x v="5"/>
          </reference>
          <reference field="3" count="1" selected="0">
            <x v="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14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0"/>
          </reference>
          <reference field="2" count="1">
            <x v="10"/>
          </reference>
          <reference field="3" count="1" selected="0">
            <x v="3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2"/>
          </reference>
          <reference field="2" count="1">
            <x v="3"/>
          </reference>
          <reference field="3" count="1" selected="0">
            <x v="3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7"/>
          </reference>
          <reference field="2" count="1">
            <x v="9"/>
          </reference>
          <reference field="3" count="1" selected="0">
            <x v="4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12"/>
          </reference>
          <reference field="2" count="1">
            <x v="6"/>
          </reference>
          <reference field="3" count="1" selected="0">
            <x v="4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15"/>
          </reference>
          <reference field="2" count="1">
            <x v="14"/>
          </reference>
          <reference field="3" count="1" selected="0">
            <x v="4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4"/>
          </reference>
          <reference field="1" count="1">
            <x v="7"/>
          </reference>
          <reference field="2" count="1" selected="0">
            <x v="4"/>
          </reference>
          <reference field="3" count="1" selected="0">
            <x v="0"/>
          </reference>
        </references>
      </pivotArea>
    </format>
    <format dxfId="58">
      <pivotArea dataOnly="0" labelOnly="1" outline="0" fieldPosition="0">
        <references count="4">
          <reference field="0" count="1" selected="0">
            <x v="7"/>
          </reference>
          <reference field="1" count="1">
            <x v="4"/>
          </reference>
          <reference field="2" count="1" selected="0">
            <x v="11"/>
          </reference>
          <reference field="3" count="1" selected="0">
            <x v="0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9"/>
          </reference>
          <reference field="1" count="1">
            <x v="4"/>
          </reference>
          <reference field="2" count="1" selected="0">
            <x v="8"/>
          </reference>
          <reference field="3" count="1" selected="0">
            <x v="0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13"/>
          </reference>
          <reference field="1" count="1">
            <x v="13"/>
          </reference>
          <reference field="2" count="1" selected="0">
            <x v="12"/>
          </reference>
          <reference field="3" count="1" selected="0">
            <x v="0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5"/>
          </reference>
          <reference field="1" count="1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8"/>
          </reference>
          <reference field="1" count="1">
            <x v="5"/>
          </reference>
          <reference field="2" count="1" selected="0">
            <x v="2"/>
          </reference>
          <reference field="3" count="1" selected="0">
            <x v="1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11"/>
          </reference>
          <reference field="1" count="1">
            <x v="10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1"/>
          </reference>
          <reference field="1" count="1">
            <x v="8"/>
          </reference>
          <reference field="2" count="1" selected="0">
            <x v="13"/>
          </reference>
          <reference field="3" count="1" selected="0">
            <x v="2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3"/>
          </reference>
          <reference field="1" count="1">
            <x v="3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6"/>
          </reference>
          <reference field="1" count="1">
            <x v="9"/>
          </reference>
          <reference field="2" count="1" selected="0">
            <x v="7"/>
          </reference>
          <reference field="3" count="1" selected="0">
            <x v="2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9"/>
          </reference>
          <reference field="1" count="1">
            <x v="2"/>
          </reference>
          <reference field="2" count="1" selected="0">
            <x v="5"/>
          </reference>
          <reference field="3" count="1" selected="0">
            <x v="2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14"/>
          </reference>
          <reference field="1" count="1">
            <x v="14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0"/>
          </reference>
          <reference field="1" count="1">
            <x v="11"/>
          </reference>
          <reference field="2" count="1" selected="0">
            <x v="10"/>
          </reference>
          <reference field="3" count="1" selected="0">
            <x v="3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2"/>
          </reference>
          <reference field="1" count="1">
            <x v="6"/>
          </reference>
          <reference field="2" count="1" selected="0">
            <x v="3"/>
          </reference>
          <reference field="3" count="1" selected="0">
            <x v="3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7"/>
          </reference>
          <reference field="1" count="1">
            <x v="1"/>
          </reference>
          <reference field="2" count="1" selected="0">
            <x v="9"/>
          </reference>
          <reference field="3" count="1" selected="0">
            <x v="4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12"/>
          </reference>
          <reference field="1" count="1">
            <x v="12"/>
          </reference>
          <reference field="2" count="1" selected="0">
            <x v="6"/>
          </reference>
          <reference field="3" count="1" selected="0">
            <x v="4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15"/>
          </reference>
          <reference field="1" count="1">
            <x v="15"/>
          </reference>
          <reference field="2" count="1" selected="0">
            <x v="14"/>
          </reference>
          <reference field="3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BCE707-9079-4829-8F64-E983FFFB4E8B}" name="Count of Applications by Departme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33:C39" firstHeaderRow="1" firstDataRow="1" firstDataCol="1"/>
  <pivotFields count="8">
    <pivotField dataField="1" showAll="0"/>
    <pivotField numFmtId="14" showAll="0"/>
    <pivotField numFmtId="14" showAll="0"/>
    <pivotField axis="axisRow" showAll="0">
      <items count="6">
        <item x="0"/>
        <item x="3"/>
        <item x="1"/>
        <item x="4"/>
        <item x="2"/>
        <item t="default"/>
      </items>
    </pivotField>
    <pivotField numFmtId="164" showAll="0"/>
    <pivotField numFmtId="164" showAll="0"/>
    <pivotField numFmtId="164" showAll="0"/>
    <pivotField numFmtId="164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Application Name" fld="0" subtotal="count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3" type="button" dataOnly="0" labelOnly="1" outline="0" axis="axisRow" fieldPosition="0"/>
    </format>
    <format dxfId="8">
      <pivotArea dataOnly="0" labelOnly="1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6"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D15ECF-4E58-46CE-B90F-F03F3B8C8BD9}" name="Total Expenditure by Departmen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O7:P13" firstHeaderRow="1" firstDataRow="1" firstDataCol="1"/>
  <pivotFields count="8">
    <pivotField showAll="0"/>
    <pivotField numFmtId="14" showAll="0"/>
    <pivotField numFmtId="14" showAll="0"/>
    <pivotField axis="axisRow" showAll="0">
      <items count="6">
        <item x="0"/>
        <item x="3"/>
        <item x="1"/>
        <item x="4"/>
        <item x="2"/>
        <item t="default"/>
      </items>
    </pivotField>
    <pivotField numFmtId="164" showAll="0"/>
    <pivotField numFmtId="164" showAll="0"/>
    <pivotField numFmtId="164" showAll="0"/>
    <pivotField dataField="1" numFmtId="164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Cost of Ownership" fld="7" baseField="0" baseItem="0" numFmtId="166"/>
  </dataFields>
  <formats count="17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3" type="button" dataOnly="0" labelOnly="1" outline="0" axis="axisRow" fieldPosition="0"/>
    </format>
    <format dxfId="25">
      <pivotArea dataOnly="0" labelOnly="1" fieldPosition="0">
        <references count="1">
          <reference field="3" count="0"/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3" type="button" dataOnly="0" labelOnly="1" outline="0" axis="axisRow" fieldPosition="0"/>
    </format>
    <format dxfId="16">
      <pivotArea dataOnly="0" labelOnly="1" fieldPosition="0">
        <references count="1">
          <reference field="3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collapsedLevelsAreSubtotals="1" fieldPosition="0">
        <references count="1">
          <reference field="3" count="0"/>
        </references>
      </pivotArea>
    </format>
    <format dxfId="12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C7B1C-D40B-460E-9413-294B3E696A73}" name="Total Expense by Applica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7:B25" firstHeaderRow="1" firstDataRow="1" firstDataCol="1"/>
  <pivotFields count="8">
    <pivotField axis="axisRow" showAll="0">
      <items count="20">
        <item x="13"/>
        <item x="3"/>
        <item x="10"/>
        <item x="0"/>
        <item x="4"/>
        <item x="5"/>
        <item x="11"/>
        <item x="12"/>
        <item x="6"/>
        <item x="7"/>
        <item x="8"/>
        <item m="1" x="17"/>
        <item x="9"/>
        <item m="1" x="18"/>
        <item x="1"/>
        <item x="2"/>
        <item x="14"/>
        <item x="15"/>
        <item x="16"/>
        <item t="default"/>
      </items>
    </pivotField>
    <pivotField numFmtId="14" showAll="0"/>
    <pivotField numFmtId="14" showAll="0"/>
    <pivotField showAll="0"/>
    <pivotField numFmtId="164" showAll="0"/>
    <pivotField numFmtId="164" showAll="0"/>
    <pivotField numFmtId="164" showAll="0"/>
    <pivotField dataField="1" numFmtId="164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Total Cost of Ownership" fld="7" baseField="0" baseItem="0" numFmtId="164"/>
  </dataFields>
  <formats count="14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dataOnly="0" labelOnly="1" outline="0" axis="axisValues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outline="0" collapsedLevelsAreSubtotals="1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3E119-072E-4F13-BF7B-8D29461E8836}">
  <sheetPr codeName="Sheet1"/>
  <dimension ref="A1:T7"/>
  <sheetViews>
    <sheetView tabSelected="1" workbookViewId="0">
      <selection activeCell="B10" sqref="B10"/>
    </sheetView>
  </sheetViews>
  <sheetFormatPr defaultRowHeight="14.4" x14ac:dyDescent="0.3"/>
  <cols>
    <col min="2" max="2" width="72.21875" customWidth="1"/>
    <col min="3" max="3" width="6.88671875" customWidth="1"/>
  </cols>
  <sheetData>
    <row r="1" spans="1:20" ht="15" thickBot="1" x14ac:dyDescent="0.3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1:20" ht="64.8" customHeight="1" thickBot="1" x14ac:dyDescent="1.25">
      <c r="A2" s="9"/>
      <c r="B2" s="42" t="s">
        <v>39</v>
      </c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5"/>
      <c r="P2" s="9"/>
      <c r="Q2" s="9"/>
      <c r="R2" s="9"/>
    </row>
    <row r="3" spans="1:20" ht="15" thickBot="1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20" ht="29.4" thickBot="1" x14ac:dyDescent="0.6">
      <c r="A4" s="9"/>
      <c r="B4" s="41" t="s">
        <v>40</v>
      </c>
      <c r="C4" s="9"/>
      <c r="D4" s="40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5" spans="1:20" ht="20.399999999999999" customHeight="1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ht="19.2" customHeight="1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3">
      <c r="Q7" s="9"/>
      <c r="R7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15E7-0004-4F14-9942-6DF1A4B9D365}">
  <sheetPr codeName="Sheet3"/>
  <dimension ref="A1:K37"/>
  <sheetViews>
    <sheetView workbookViewId="0">
      <selection activeCell="D7" sqref="D7"/>
    </sheetView>
  </sheetViews>
  <sheetFormatPr defaultRowHeight="14.4" x14ac:dyDescent="0.3"/>
  <cols>
    <col min="1" max="1" width="20" bestFit="1" customWidth="1"/>
    <col min="2" max="2" width="26.33203125" bestFit="1" customWidth="1"/>
    <col min="3" max="3" width="24" bestFit="1" customWidth="1"/>
    <col min="4" max="4" width="20.77734375" bestFit="1" customWidth="1"/>
    <col min="5" max="5" width="12.44140625" style="8" bestFit="1" customWidth="1"/>
    <col min="6" max="6" width="20.33203125" style="8" bestFit="1" customWidth="1"/>
    <col min="7" max="7" width="18.6640625" style="8" bestFit="1" customWidth="1"/>
    <col min="8" max="8" width="26.5546875" style="8" bestFit="1" customWidth="1"/>
  </cols>
  <sheetData>
    <row r="1" spans="1:11" s="35" customFormat="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E2"/>
      <c r="F2"/>
      <c r="G2"/>
      <c r="H2"/>
    </row>
    <row r="3" spans="1:11" x14ac:dyDescent="0.3">
      <c r="E3"/>
      <c r="F3"/>
      <c r="G3"/>
      <c r="H3"/>
    </row>
    <row r="4" spans="1:11" ht="18" x14ac:dyDescent="0.3">
      <c r="A4" s="58" t="s">
        <v>12</v>
      </c>
      <c r="B4" s="58" t="s">
        <v>18</v>
      </c>
      <c r="C4" s="58" t="s">
        <v>19</v>
      </c>
      <c r="D4" s="58" t="s">
        <v>20</v>
      </c>
      <c r="E4" s="58" t="s">
        <v>21</v>
      </c>
      <c r="F4" s="58" t="s">
        <v>22</v>
      </c>
      <c r="G4" s="58" t="s">
        <v>23</v>
      </c>
      <c r="H4" s="58" t="s">
        <v>10</v>
      </c>
    </row>
    <row r="5" spans="1:11" x14ac:dyDescent="0.3">
      <c r="A5" t="s">
        <v>38</v>
      </c>
      <c r="B5" s="46">
        <v>46052</v>
      </c>
      <c r="C5" s="46">
        <v>45658</v>
      </c>
      <c r="D5" t="s">
        <v>6</v>
      </c>
      <c r="E5">
        <v>9200</v>
      </c>
      <c r="F5">
        <v>500</v>
      </c>
      <c r="G5">
        <v>780</v>
      </c>
      <c r="H5">
        <v>10480</v>
      </c>
    </row>
    <row r="6" spans="1:11" x14ac:dyDescent="0.3">
      <c r="A6" t="s">
        <v>42</v>
      </c>
      <c r="B6" s="46">
        <v>46149</v>
      </c>
      <c r="C6" s="46">
        <v>45658</v>
      </c>
      <c r="D6" t="s">
        <v>8</v>
      </c>
      <c r="E6">
        <v>600</v>
      </c>
      <c r="F6">
        <v>500</v>
      </c>
      <c r="G6">
        <v>200</v>
      </c>
      <c r="H6">
        <v>1300</v>
      </c>
    </row>
    <row r="7" spans="1:11" x14ac:dyDescent="0.3">
      <c r="A7" t="s">
        <v>43</v>
      </c>
      <c r="B7" s="46">
        <v>45147</v>
      </c>
      <c r="C7" s="46">
        <v>45048</v>
      </c>
      <c r="D7" t="s">
        <v>13</v>
      </c>
      <c r="E7">
        <v>500</v>
      </c>
      <c r="F7">
        <v>200</v>
      </c>
      <c r="G7">
        <v>100</v>
      </c>
      <c r="H7">
        <v>800</v>
      </c>
    </row>
    <row r="8" spans="1:11" x14ac:dyDescent="0.3">
      <c r="A8" t="s">
        <v>48</v>
      </c>
      <c r="B8" s="46">
        <v>45544</v>
      </c>
      <c r="C8" s="46">
        <v>45482</v>
      </c>
      <c r="D8" t="s">
        <v>13</v>
      </c>
      <c r="E8">
        <v>9293</v>
      </c>
      <c r="F8">
        <v>9393</v>
      </c>
      <c r="G8">
        <v>2020</v>
      </c>
      <c r="H8">
        <v>20706</v>
      </c>
    </row>
    <row r="9" spans="1:11" x14ac:dyDescent="0.3">
      <c r="A9" t="s">
        <v>49</v>
      </c>
      <c r="B9" s="46">
        <v>45543</v>
      </c>
      <c r="C9" s="46">
        <v>45112</v>
      </c>
      <c r="D9" t="s">
        <v>8</v>
      </c>
      <c r="E9">
        <v>829</v>
      </c>
      <c r="F9">
        <v>900</v>
      </c>
      <c r="G9">
        <v>400</v>
      </c>
      <c r="H9">
        <v>2129</v>
      </c>
    </row>
    <row r="10" spans="1:11" x14ac:dyDescent="0.3">
      <c r="A10" t="s">
        <v>50</v>
      </c>
      <c r="B10" s="46">
        <v>46084</v>
      </c>
      <c r="C10" s="46">
        <v>45577</v>
      </c>
      <c r="D10" t="s">
        <v>8</v>
      </c>
      <c r="E10">
        <v>700</v>
      </c>
      <c r="F10">
        <v>500</v>
      </c>
      <c r="G10">
        <v>600</v>
      </c>
      <c r="H10">
        <v>1800</v>
      </c>
    </row>
    <row r="11" spans="1:11" x14ac:dyDescent="0.3">
      <c r="A11" t="s">
        <v>9</v>
      </c>
      <c r="B11" s="46">
        <v>45751</v>
      </c>
      <c r="C11" s="46">
        <v>45676</v>
      </c>
      <c r="D11" t="s">
        <v>8</v>
      </c>
      <c r="E11">
        <v>30000</v>
      </c>
      <c r="F11">
        <v>7000</v>
      </c>
      <c r="G11">
        <v>5000</v>
      </c>
      <c r="H11">
        <v>42000</v>
      </c>
    </row>
    <row r="12" spans="1:11" x14ac:dyDescent="0.3">
      <c r="A12" t="s">
        <v>3</v>
      </c>
      <c r="B12" s="46">
        <v>45540</v>
      </c>
      <c r="C12" s="46">
        <v>45658</v>
      </c>
      <c r="D12" t="s">
        <v>8</v>
      </c>
      <c r="E12">
        <v>3500</v>
      </c>
      <c r="F12">
        <v>700</v>
      </c>
      <c r="G12">
        <v>1000</v>
      </c>
      <c r="H12">
        <v>5200</v>
      </c>
    </row>
    <row r="13" spans="1:11" x14ac:dyDescent="0.3">
      <c r="A13" t="s">
        <v>4</v>
      </c>
      <c r="B13" s="46">
        <v>45688</v>
      </c>
      <c r="C13" s="46">
        <v>45157</v>
      </c>
      <c r="D13" t="s">
        <v>6</v>
      </c>
      <c r="E13">
        <v>5000</v>
      </c>
      <c r="F13">
        <v>1100</v>
      </c>
      <c r="G13">
        <v>2000</v>
      </c>
      <c r="H13">
        <v>8100</v>
      </c>
    </row>
    <row r="14" spans="1:11" x14ac:dyDescent="0.3">
      <c r="A14" t="s">
        <v>2</v>
      </c>
      <c r="B14" s="46">
        <v>45603</v>
      </c>
      <c r="C14" s="46">
        <v>45646</v>
      </c>
      <c r="D14" t="s">
        <v>6</v>
      </c>
      <c r="E14">
        <v>19000</v>
      </c>
      <c r="F14">
        <v>2000</v>
      </c>
      <c r="G14">
        <v>2500</v>
      </c>
      <c r="H14">
        <v>23500</v>
      </c>
    </row>
    <row r="15" spans="1:11" x14ac:dyDescent="0.3">
      <c r="A15" t="s">
        <v>0</v>
      </c>
      <c r="B15" s="46">
        <v>45658</v>
      </c>
      <c r="C15" s="46">
        <v>45085</v>
      </c>
      <c r="D15" t="s">
        <v>7</v>
      </c>
      <c r="E15">
        <v>20000</v>
      </c>
      <c r="F15">
        <v>5000</v>
      </c>
      <c r="G15">
        <v>3000</v>
      </c>
      <c r="H15">
        <v>28000</v>
      </c>
    </row>
    <row r="16" spans="1:11" x14ac:dyDescent="0.3">
      <c r="A16" t="s">
        <v>1</v>
      </c>
      <c r="B16" s="46">
        <v>45603</v>
      </c>
      <c r="C16" s="46">
        <v>45463</v>
      </c>
      <c r="D16" t="s">
        <v>6</v>
      </c>
      <c r="E16">
        <v>18000</v>
      </c>
      <c r="F16">
        <v>6000</v>
      </c>
      <c r="G16">
        <v>4000</v>
      </c>
      <c r="H16">
        <v>28000</v>
      </c>
    </row>
    <row r="17" spans="1:8" x14ac:dyDescent="0.3">
      <c r="A17" t="s">
        <v>5</v>
      </c>
      <c r="B17" s="46">
        <v>45814</v>
      </c>
      <c r="C17" s="46">
        <v>44959</v>
      </c>
      <c r="D17" t="s">
        <v>7</v>
      </c>
      <c r="E17">
        <v>1200</v>
      </c>
      <c r="F17">
        <v>300</v>
      </c>
      <c r="G17">
        <v>900</v>
      </c>
      <c r="H17">
        <v>2400</v>
      </c>
    </row>
    <row r="18" spans="1:8" x14ac:dyDescent="0.3">
      <c r="A18" t="s">
        <v>2</v>
      </c>
      <c r="B18" s="46">
        <v>45175</v>
      </c>
      <c r="C18" s="46">
        <v>45542</v>
      </c>
      <c r="D18" t="s">
        <v>13</v>
      </c>
      <c r="E18">
        <v>29838</v>
      </c>
      <c r="F18">
        <v>299219</v>
      </c>
      <c r="G18">
        <v>8291</v>
      </c>
      <c r="H18">
        <v>337348</v>
      </c>
    </row>
    <row r="19" spans="1:8" x14ac:dyDescent="0.3">
      <c r="A19" t="s">
        <v>16</v>
      </c>
      <c r="B19" s="46">
        <v>45678</v>
      </c>
      <c r="C19" s="46">
        <v>45126</v>
      </c>
      <c r="D19" t="s">
        <v>14</v>
      </c>
      <c r="E19">
        <v>9282</v>
      </c>
      <c r="F19">
        <v>2928</v>
      </c>
      <c r="G19">
        <v>500</v>
      </c>
      <c r="H19">
        <v>12710</v>
      </c>
    </row>
    <row r="20" spans="1:8" x14ac:dyDescent="0.3">
      <c r="A20" t="s">
        <v>29</v>
      </c>
      <c r="B20" s="46">
        <v>44931</v>
      </c>
      <c r="C20" s="46">
        <v>44989</v>
      </c>
      <c r="D20" t="s">
        <v>7</v>
      </c>
      <c r="E20">
        <v>3782</v>
      </c>
      <c r="F20">
        <v>8392</v>
      </c>
      <c r="G20">
        <v>1923</v>
      </c>
      <c r="H20">
        <v>14097</v>
      </c>
    </row>
    <row r="21" spans="1:8" x14ac:dyDescent="0.3">
      <c r="A21" t="s">
        <v>1</v>
      </c>
      <c r="B21" s="46">
        <v>45294</v>
      </c>
      <c r="C21" s="46">
        <v>45293</v>
      </c>
      <c r="D21" t="s">
        <v>8</v>
      </c>
      <c r="E21">
        <v>29392</v>
      </c>
      <c r="F21">
        <v>9192</v>
      </c>
      <c r="G21">
        <v>9392</v>
      </c>
      <c r="H21">
        <v>47976</v>
      </c>
    </row>
    <row r="22" spans="1:8" x14ac:dyDescent="0.3">
      <c r="A22" t="s">
        <v>30</v>
      </c>
      <c r="B22" s="46">
        <v>45785</v>
      </c>
      <c r="C22" s="46">
        <v>45455</v>
      </c>
      <c r="D22" t="s">
        <v>8</v>
      </c>
      <c r="E22">
        <v>9283</v>
      </c>
      <c r="F22">
        <v>9392</v>
      </c>
      <c r="G22">
        <v>828</v>
      </c>
      <c r="H22">
        <v>19503</v>
      </c>
    </row>
    <row r="23" spans="1:8" x14ac:dyDescent="0.3">
      <c r="A23" t="s">
        <v>33</v>
      </c>
      <c r="B23" s="46">
        <v>45902</v>
      </c>
      <c r="C23" s="46">
        <v>45572</v>
      </c>
      <c r="D23" t="s">
        <v>14</v>
      </c>
      <c r="E23" s="8">
        <v>9393</v>
      </c>
      <c r="F23" s="8">
        <v>38229</v>
      </c>
      <c r="G23" s="8">
        <v>829</v>
      </c>
      <c r="H23" s="8">
        <v>48451</v>
      </c>
    </row>
    <row r="37" spans="1:8" x14ac:dyDescent="0.3">
      <c r="A37" s="32"/>
      <c r="B37" s="32"/>
      <c r="C37" s="32"/>
      <c r="D37" s="32"/>
      <c r="E37" s="34"/>
      <c r="F37" s="34"/>
      <c r="G37" s="34"/>
      <c r="H37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ApplicationsData">
                <anchor moveWithCells="1" sizeWithCells="1">
                  <from>
                    <xdr:col>0</xdr:col>
                    <xdr:colOff>495300</xdr:colOff>
                    <xdr:row>0</xdr:row>
                    <xdr:rowOff>68580</xdr:rowOff>
                  </from>
                  <to>
                    <xdr:col>1</xdr:col>
                    <xdr:colOff>243840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394A-F5DF-4C4B-BBC0-1F465F086E29}">
  <sheetPr codeName="Sheet5"/>
  <dimension ref="A1:L74"/>
  <sheetViews>
    <sheetView workbookViewId="0">
      <selection activeCell="G23" sqref="G23"/>
    </sheetView>
  </sheetViews>
  <sheetFormatPr defaultRowHeight="14.4" x14ac:dyDescent="0.3"/>
  <cols>
    <col min="1" max="1" width="16.109375" bestFit="1" customWidth="1"/>
    <col min="2" max="2" width="20.5546875" bestFit="1" customWidth="1"/>
    <col min="3" max="3" width="25.88671875" customWidth="1"/>
    <col min="4" max="5" width="8.88671875" customWidth="1"/>
    <col min="6" max="6" width="11.6640625" customWidth="1"/>
    <col min="7" max="7" width="16.33203125" bestFit="1" customWidth="1"/>
    <col min="8" max="8" width="18.6640625" bestFit="1" customWidth="1"/>
    <col min="9" max="9" width="18.33203125" bestFit="1" customWidth="1"/>
    <col min="10" max="10" width="21.33203125" bestFit="1" customWidth="1"/>
    <col min="11" max="11" width="22.77734375" bestFit="1" customWidth="1"/>
    <col min="12" max="12" width="13.88671875" customWidth="1"/>
    <col min="14" max="14" width="15.33203125" bestFit="1" customWidth="1"/>
    <col min="15" max="15" width="16.109375" bestFit="1" customWidth="1"/>
    <col min="16" max="16" width="20.5546875" bestFit="1" customWidth="1"/>
    <col min="17" max="17" width="19.109375" bestFit="1" customWidth="1"/>
  </cols>
  <sheetData>
    <row r="1" spans="1:12" ht="18" x14ac:dyDescent="0.35">
      <c r="A1" s="59" t="s">
        <v>28</v>
      </c>
      <c r="B1" s="59"/>
      <c r="C1" s="32"/>
      <c r="D1" s="32"/>
      <c r="E1" s="32"/>
      <c r="F1" s="32"/>
      <c r="G1" s="32"/>
      <c r="H1" s="60" t="s">
        <v>41</v>
      </c>
      <c r="I1" s="60"/>
      <c r="J1" s="60"/>
      <c r="K1" s="60"/>
      <c r="L1" s="36"/>
    </row>
    <row r="2" spans="1:12" x14ac:dyDescent="0.3">
      <c r="A2" s="54" t="s">
        <v>12</v>
      </c>
      <c r="B2" s="54" t="s">
        <v>19</v>
      </c>
      <c r="C2" s="32"/>
      <c r="D2" s="32"/>
      <c r="E2" s="32"/>
      <c r="F2" s="32"/>
      <c r="G2" s="32"/>
      <c r="H2" s="55" t="s">
        <v>20</v>
      </c>
      <c r="I2" s="55" t="s">
        <v>12</v>
      </c>
      <c r="J2" s="55" t="s">
        <v>19</v>
      </c>
      <c r="K2" s="55" t="s">
        <v>18</v>
      </c>
    </row>
    <row r="3" spans="1:12" x14ac:dyDescent="0.3">
      <c r="A3" t="s">
        <v>43</v>
      </c>
      <c r="B3" s="46">
        <v>45048</v>
      </c>
      <c r="C3" s="32"/>
      <c r="D3" s="32"/>
      <c r="E3" s="32"/>
      <c r="F3" s="32"/>
      <c r="G3" s="32"/>
      <c r="H3" t="s">
        <v>6</v>
      </c>
      <c r="I3" t="s">
        <v>4</v>
      </c>
      <c r="J3" s="46">
        <v>45157</v>
      </c>
      <c r="K3" s="46">
        <v>45688</v>
      </c>
    </row>
    <row r="4" spans="1:12" x14ac:dyDescent="0.3">
      <c r="A4" t="s">
        <v>48</v>
      </c>
      <c r="B4" s="46">
        <v>45482</v>
      </c>
      <c r="C4" s="32"/>
      <c r="D4" s="32"/>
      <c r="E4" s="32"/>
      <c r="F4" s="32"/>
      <c r="G4" s="32"/>
      <c r="I4" t="s">
        <v>2</v>
      </c>
      <c r="J4" s="46">
        <v>45646</v>
      </c>
      <c r="K4" s="46">
        <v>45603</v>
      </c>
    </row>
    <row r="5" spans="1:12" x14ac:dyDescent="0.3">
      <c r="A5" t="s">
        <v>49</v>
      </c>
      <c r="B5" s="46">
        <v>45112</v>
      </c>
      <c r="C5" s="32"/>
      <c r="D5" s="32"/>
      <c r="E5" s="32"/>
      <c r="F5" s="32"/>
      <c r="G5" s="32"/>
      <c r="I5" t="s">
        <v>1</v>
      </c>
      <c r="J5" s="46">
        <v>45463</v>
      </c>
      <c r="K5" s="46">
        <v>45603</v>
      </c>
    </row>
    <row r="6" spans="1:12" x14ac:dyDescent="0.3">
      <c r="A6" t="s">
        <v>4</v>
      </c>
      <c r="B6" s="46">
        <v>45157</v>
      </c>
      <c r="C6" s="32"/>
      <c r="D6" s="32"/>
      <c r="E6" s="32"/>
      <c r="F6" s="32"/>
      <c r="G6" s="32"/>
      <c r="I6" t="s">
        <v>38</v>
      </c>
      <c r="J6" s="46">
        <v>45658</v>
      </c>
      <c r="K6" s="46">
        <v>46052</v>
      </c>
    </row>
    <row r="7" spans="1:12" x14ac:dyDescent="0.3">
      <c r="A7" t="s">
        <v>0</v>
      </c>
      <c r="B7" s="46">
        <v>45085</v>
      </c>
      <c r="C7" s="32"/>
      <c r="D7" s="32"/>
      <c r="E7" s="32"/>
      <c r="F7" s="32"/>
      <c r="G7" s="32"/>
      <c r="H7" t="s">
        <v>7</v>
      </c>
      <c r="I7" t="s">
        <v>29</v>
      </c>
      <c r="J7" s="46">
        <v>44989</v>
      </c>
      <c r="K7" s="46">
        <v>44931</v>
      </c>
    </row>
    <row r="8" spans="1:12" x14ac:dyDescent="0.3">
      <c r="A8" t="s">
        <v>1</v>
      </c>
      <c r="B8" s="46">
        <v>45463</v>
      </c>
      <c r="C8" s="32"/>
      <c r="D8" s="32"/>
      <c r="E8" s="32"/>
      <c r="F8" s="32"/>
      <c r="G8" s="32"/>
      <c r="I8" t="s">
        <v>0</v>
      </c>
      <c r="J8" s="46">
        <v>45085</v>
      </c>
      <c r="K8" s="46">
        <v>45658</v>
      </c>
    </row>
    <row r="9" spans="1:12" ht="15" thickBot="1" x14ac:dyDescent="0.35">
      <c r="A9" t="s">
        <v>5</v>
      </c>
      <c r="B9" s="46">
        <v>44959</v>
      </c>
      <c r="C9" s="32"/>
      <c r="D9" s="32"/>
      <c r="E9" s="32"/>
      <c r="F9" s="32"/>
      <c r="G9" s="32"/>
      <c r="I9" t="s">
        <v>5</v>
      </c>
      <c r="J9" s="46">
        <v>44959</v>
      </c>
      <c r="K9" s="46">
        <v>45814</v>
      </c>
    </row>
    <row r="10" spans="1:12" ht="15" thickBot="1" x14ac:dyDescent="0.35">
      <c r="A10" t="s">
        <v>16</v>
      </c>
      <c r="B10" s="46">
        <v>45126</v>
      </c>
      <c r="C10" s="32"/>
      <c r="D10" s="32"/>
      <c r="E10" s="32"/>
      <c r="F10" s="56"/>
      <c r="G10" s="57" t="s">
        <v>36</v>
      </c>
      <c r="H10" t="s">
        <v>8</v>
      </c>
      <c r="I10" t="s">
        <v>9</v>
      </c>
      <c r="J10" s="46">
        <v>45676</v>
      </c>
      <c r="K10" s="46">
        <v>45751</v>
      </c>
    </row>
    <row r="11" spans="1:12" x14ac:dyDescent="0.3">
      <c r="A11" t="s">
        <v>29</v>
      </c>
      <c r="B11" s="46">
        <v>44989</v>
      </c>
      <c r="C11" s="32"/>
      <c r="D11" s="32"/>
      <c r="E11" s="32"/>
      <c r="F11" s="32"/>
      <c r="G11" s="32"/>
      <c r="I11" t="s">
        <v>3</v>
      </c>
      <c r="J11" s="46">
        <v>45658</v>
      </c>
      <c r="K11" s="46">
        <v>45540</v>
      </c>
    </row>
    <row r="12" spans="1:12" x14ac:dyDescent="0.3">
      <c r="A12" t="s">
        <v>1</v>
      </c>
      <c r="B12" s="46">
        <v>45293</v>
      </c>
      <c r="C12" s="32"/>
      <c r="D12" s="32"/>
      <c r="E12" s="32"/>
      <c r="F12" s="32"/>
      <c r="G12" s="32"/>
      <c r="I12" t="s">
        <v>30</v>
      </c>
      <c r="J12" s="46">
        <v>45455</v>
      </c>
      <c r="K12" s="46">
        <v>45785</v>
      </c>
    </row>
    <row r="13" spans="1:12" x14ac:dyDescent="0.3">
      <c r="A13" t="s">
        <v>30</v>
      </c>
      <c r="B13" s="46">
        <v>45455</v>
      </c>
      <c r="C13" s="32"/>
      <c r="D13" s="32"/>
      <c r="E13" s="32"/>
      <c r="F13" s="32"/>
      <c r="G13" s="32"/>
      <c r="I13" t="s">
        <v>1</v>
      </c>
      <c r="J13" s="46">
        <v>45293</v>
      </c>
      <c r="K13" s="46">
        <v>45294</v>
      </c>
    </row>
    <row r="14" spans="1:12" x14ac:dyDescent="0.3">
      <c r="C14" s="32"/>
      <c r="D14" s="32"/>
      <c r="E14" s="32"/>
      <c r="F14" s="32"/>
      <c r="G14" s="32"/>
      <c r="I14" t="s">
        <v>42</v>
      </c>
      <c r="J14" s="46">
        <v>45658</v>
      </c>
      <c r="K14" s="46">
        <v>46149</v>
      </c>
    </row>
    <row r="15" spans="1:12" x14ac:dyDescent="0.3">
      <c r="C15" s="32"/>
      <c r="D15" s="32"/>
      <c r="E15" s="32"/>
      <c r="F15" s="32"/>
      <c r="G15" s="32"/>
      <c r="I15" t="s">
        <v>49</v>
      </c>
      <c r="J15" s="46">
        <v>45053</v>
      </c>
      <c r="K15" s="46">
        <v>45513</v>
      </c>
    </row>
    <row r="16" spans="1:12" ht="18" x14ac:dyDescent="0.3">
      <c r="A16" s="59" t="s">
        <v>37</v>
      </c>
      <c r="B16" s="59"/>
      <c r="C16" s="32"/>
      <c r="D16" s="32"/>
      <c r="E16" s="32"/>
      <c r="F16" s="32"/>
      <c r="G16" s="32"/>
      <c r="I16" t="s">
        <v>50</v>
      </c>
      <c r="J16" s="46">
        <v>45636</v>
      </c>
      <c r="K16" s="46">
        <v>46084</v>
      </c>
    </row>
    <row r="17" spans="1:11" x14ac:dyDescent="0.3">
      <c r="A17" s="54" t="s">
        <v>12</v>
      </c>
      <c r="B17" s="54" t="s">
        <v>18</v>
      </c>
      <c r="C17" s="32"/>
      <c r="D17" s="32"/>
      <c r="E17" s="32"/>
      <c r="F17" s="32"/>
      <c r="G17" s="32"/>
      <c r="H17" t="s">
        <v>14</v>
      </c>
      <c r="I17" t="s">
        <v>33</v>
      </c>
      <c r="J17" s="46">
        <v>45572</v>
      </c>
      <c r="K17" s="46">
        <v>45902</v>
      </c>
    </row>
    <row r="18" spans="1:11" x14ac:dyDescent="0.3">
      <c r="A18" t="s">
        <v>43</v>
      </c>
      <c r="B18" s="46">
        <v>45147</v>
      </c>
      <c r="C18" s="32"/>
      <c r="D18" s="32"/>
      <c r="E18" s="32"/>
      <c r="F18" s="32"/>
      <c r="G18" s="32"/>
      <c r="I18" t="s">
        <v>16</v>
      </c>
      <c r="J18" s="46">
        <v>45126</v>
      </c>
      <c r="K18" s="46">
        <v>45678</v>
      </c>
    </row>
    <row r="19" spans="1:11" x14ac:dyDescent="0.3">
      <c r="A19" t="s">
        <v>48</v>
      </c>
      <c r="B19" s="46">
        <v>45544</v>
      </c>
      <c r="C19" s="32"/>
      <c r="D19" s="32"/>
      <c r="E19" s="32"/>
      <c r="F19" s="32"/>
      <c r="G19" s="32"/>
      <c r="H19" t="s">
        <v>13</v>
      </c>
      <c r="I19" t="s">
        <v>2</v>
      </c>
      <c r="J19" s="46">
        <v>45542</v>
      </c>
      <c r="K19" s="46">
        <v>45175</v>
      </c>
    </row>
    <row r="20" spans="1:11" x14ac:dyDescent="0.3">
      <c r="A20" t="s">
        <v>49</v>
      </c>
      <c r="B20" s="46">
        <v>45543</v>
      </c>
      <c r="C20" s="32"/>
      <c r="D20" s="32"/>
      <c r="E20" s="32"/>
      <c r="F20" s="32"/>
      <c r="G20" s="32"/>
      <c r="I20" t="s">
        <v>43</v>
      </c>
      <c r="J20" s="46">
        <v>45048</v>
      </c>
      <c r="K20" s="46">
        <v>45147</v>
      </c>
    </row>
    <row r="21" spans="1:11" x14ac:dyDescent="0.3">
      <c r="A21" t="s">
        <v>3</v>
      </c>
      <c r="B21" s="46">
        <v>45540</v>
      </c>
      <c r="C21" s="32"/>
      <c r="D21" s="32"/>
      <c r="E21" s="32"/>
      <c r="F21" s="32"/>
      <c r="G21" s="32"/>
      <c r="I21" t="s">
        <v>48</v>
      </c>
      <c r="J21" s="46">
        <v>45542</v>
      </c>
      <c r="K21" s="46">
        <v>45544</v>
      </c>
    </row>
    <row r="22" spans="1:11" x14ac:dyDescent="0.3">
      <c r="A22" t="s">
        <v>2</v>
      </c>
      <c r="B22" s="46">
        <v>45603</v>
      </c>
      <c r="C22" s="32"/>
      <c r="D22" s="32"/>
      <c r="E22" s="32"/>
      <c r="F22" s="32"/>
      <c r="G22" s="32"/>
      <c r="H22" s="32"/>
      <c r="I22" s="32"/>
      <c r="J22" s="32"/>
      <c r="K22" s="32"/>
    </row>
    <row r="23" spans="1:11" x14ac:dyDescent="0.3">
      <c r="A23" t="s">
        <v>0</v>
      </c>
      <c r="B23" s="46">
        <v>45658</v>
      </c>
      <c r="C23" s="32"/>
      <c r="D23" s="32"/>
      <c r="E23" s="32"/>
      <c r="I23" s="32"/>
      <c r="J23" s="32"/>
      <c r="K23" s="32"/>
    </row>
    <row r="24" spans="1:11" x14ac:dyDescent="0.3">
      <c r="A24" t="s">
        <v>1</v>
      </c>
      <c r="B24" s="46">
        <v>45603</v>
      </c>
      <c r="C24" s="32"/>
      <c r="D24" s="32"/>
      <c r="E24" s="32"/>
      <c r="I24" s="32"/>
      <c r="J24" s="32"/>
      <c r="K24" s="32"/>
    </row>
    <row r="25" spans="1:11" x14ac:dyDescent="0.3">
      <c r="A25" t="s">
        <v>2</v>
      </c>
      <c r="B25" s="46">
        <v>45175</v>
      </c>
      <c r="C25" s="32"/>
      <c r="D25" s="32"/>
      <c r="E25" s="32"/>
      <c r="I25" s="32"/>
      <c r="J25" s="32"/>
      <c r="K25" s="32"/>
    </row>
    <row r="26" spans="1:11" x14ac:dyDescent="0.3">
      <c r="A26" t="s">
        <v>16</v>
      </c>
      <c r="B26" s="46">
        <v>45678</v>
      </c>
      <c r="C26" s="32"/>
      <c r="D26" s="32"/>
      <c r="E26" s="32"/>
      <c r="F26" s="32"/>
      <c r="G26" s="32"/>
      <c r="H26" s="32"/>
      <c r="I26" s="32"/>
      <c r="J26" s="32"/>
      <c r="K26" s="32"/>
    </row>
    <row r="27" spans="1:11" x14ac:dyDescent="0.3">
      <c r="A27" s="32" t="s">
        <v>29</v>
      </c>
      <c r="B27" s="33">
        <v>44931</v>
      </c>
      <c r="C27" s="32"/>
      <c r="D27" s="32"/>
      <c r="E27" s="32"/>
      <c r="F27" s="32"/>
      <c r="G27" s="32"/>
      <c r="H27" s="32"/>
      <c r="I27" s="32"/>
      <c r="J27" s="32"/>
      <c r="K27" s="32"/>
    </row>
    <row r="28" spans="1:11" x14ac:dyDescent="0.3">
      <c r="A28" s="32" t="s">
        <v>1</v>
      </c>
      <c r="B28" s="33">
        <v>45294</v>
      </c>
      <c r="C28" s="32"/>
      <c r="D28" s="32"/>
      <c r="E28" s="32"/>
      <c r="F28" s="32"/>
      <c r="G28" s="32"/>
      <c r="H28" s="32"/>
      <c r="I28" s="32"/>
      <c r="J28" s="32"/>
      <c r="K28" s="32"/>
    </row>
    <row r="29" spans="1:11" x14ac:dyDescent="0.3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</row>
    <row r="30" spans="1:11" x14ac:dyDescent="0.3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</row>
    <row r="31" spans="1:11" x14ac:dyDescent="0.3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</row>
    <row r="32" spans="1:11" x14ac:dyDescent="0.3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</row>
    <row r="33" spans="1:11" x14ac:dyDescent="0.3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</row>
    <row r="34" spans="1:11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</row>
    <row r="35" spans="1:11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</row>
    <row r="36" spans="1:11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</row>
    <row r="37" spans="1:11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</row>
    <row r="38" spans="1:11" x14ac:dyDescent="0.3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</row>
    <row r="39" spans="1:11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</row>
    <row r="40" spans="1:11" x14ac:dyDescent="0.3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</row>
    <row r="41" spans="1:11" x14ac:dyDescent="0.3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</row>
    <row r="42" spans="1:11" x14ac:dyDescent="0.3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</row>
    <row r="43" spans="1:11" x14ac:dyDescent="0.3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</row>
    <row r="44" spans="1:11" x14ac:dyDescent="0.3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</row>
    <row r="45" spans="1:11" x14ac:dyDescent="0.3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</row>
    <row r="46" spans="1:11" x14ac:dyDescent="0.3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</row>
    <row r="47" spans="1:11" x14ac:dyDescent="0.3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</row>
    <row r="48" spans="1:11" x14ac:dyDescent="0.3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</row>
    <row r="49" spans="1:11" x14ac:dyDescent="0.3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</row>
    <row r="50" spans="1:11" x14ac:dyDescent="0.3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</row>
    <row r="51" spans="1:11" x14ac:dyDescent="0.3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</row>
    <row r="52" spans="1:11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</row>
    <row r="53" spans="1:11" x14ac:dyDescent="0.3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</row>
    <row r="54" spans="1:11" x14ac:dyDescent="0.3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</row>
    <row r="55" spans="1:11" x14ac:dyDescent="0.3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</row>
    <row r="56" spans="1:11" x14ac:dyDescent="0.3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</row>
    <row r="57" spans="1:11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</row>
    <row r="58" spans="1:11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</row>
    <row r="59" spans="1:11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</row>
    <row r="60" spans="1:11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</row>
    <row r="61" spans="1:11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</row>
    <row r="62" spans="1:11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</row>
    <row r="63" spans="1:11" x14ac:dyDescent="0.3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</row>
    <row r="64" spans="1:11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</row>
    <row r="65" spans="1:11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</row>
    <row r="66" spans="1:11" x14ac:dyDescent="0.3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</row>
    <row r="67" spans="1:11" x14ac:dyDescent="0.3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</row>
    <row r="68" spans="1:11" x14ac:dyDescent="0.3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</row>
    <row r="69" spans="1:11" x14ac:dyDescent="0.3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</row>
    <row r="70" spans="1:11" x14ac:dyDescent="0.3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</row>
    <row r="71" spans="1:11" x14ac:dyDescent="0.3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</row>
    <row r="72" spans="1:11" x14ac:dyDescent="0.3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</row>
    <row r="73" spans="1:11" x14ac:dyDescent="0.3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</row>
    <row r="74" spans="1:11" x14ac:dyDescent="0.3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</row>
  </sheetData>
  <mergeCells count="3">
    <mergeCell ref="A1:B1"/>
    <mergeCell ref="A16:B16"/>
    <mergeCell ref="H1:K1"/>
  </mergeCells>
  <conditionalFormatting sqref="H3:K5 H7:K1048575">
    <cfRule type="expression" dxfId="180" priority="1">
      <formula>$K3&gt;TODAY()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achingEoLApplications">
                <anchor moveWithCells="1" sizeWithCells="1">
                  <from>
                    <xdr:col>2</xdr:col>
                    <xdr:colOff>510540</xdr:colOff>
                    <xdr:row>1</xdr:row>
                    <xdr:rowOff>129540</xdr:rowOff>
                  </from>
                  <to>
                    <xdr:col>4</xdr:col>
                    <xdr:colOff>434340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ExpiredApplications">
                <anchor moveWithCells="1" sizeWithCells="1">
                  <from>
                    <xdr:col>2</xdr:col>
                    <xdr:colOff>449580</xdr:colOff>
                    <xdr:row>15</xdr:row>
                    <xdr:rowOff>182880</xdr:rowOff>
                  </from>
                  <to>
                    <xdr:col>4</xdr:col>
                    <xdr:colOff>510540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CCBDD-913F-450D-8BE5-31B49FCAA472}">
  <sheetPr codeName="Sheet6"/>
  <dimension ref="A1:W48"/>
  <sheetViews>
    <sheetView zoomScale="81" workbookViewId="0">
      <selection activeCell="L39" sqref="L39"/>
    </sheetView>
  </sheetViews>
  <sheetFormatPr defaultRowHeight="14.4" x14ac:dyDescent="0.3"/>
  <cols>
    <col min="1" max="1" width="15.109375" bestFit="1" customWidth="1"/>
    <col min="2" max="2" width="28.77734375" bestFit="1" customWidth="1"/>
    <col min="3" max="3" width="24.6640625" bestFit="1" customWidth="1"/>
    <col min="5" max="5" width="14.77734375" customWidth="1"/>
    <col min="13" max="13" width="3.44140625" customWidth="1"/>
    <col min="14" max="14" width="2.109375" customWidth="1"/>
    <col min="15" max="15" width="13.44140625" bestFit="1" customWidth="1"/>
    <col min="16" max="16" width="28.77734375" bestFit="1" customWidth="1"/>
    <col min="17" max="17" width="24.6640625" bestFit="1" customWidth="1"/>
  </cols>
  <sheetData>
    <row r="1" spans="1:23" s="62" customFormat="1" x14ac:dyDescent="0.3">
      <c r="A1" s="61" t="s">
        <v>45</v>
      </c>
    </row>
    <row r="2" spans="1:23" s="62" customFormat="1" x14ac:dyDescent="0.3"/>
    <row r="4" spans="1:23" ht="14.4" customHeight="1" x14ac:dyDescent="0.3">
      <c r="A4" s="63" t="s">
        <v>46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N4" s="63" t="s">
        <v>44</v>
      </c>
      <c r="O4" s="64"/>
      <c r="P4" s="64"/>
      <c r="Q4" s="64"/>
      <c r="R4" s="64"/>
      <c r="S4" s="64"/>
      <c r="T4" s="64"/>
      <c r="U4" s="64"/>
      <c r="V4" s="64"/>
      <c r="W4" s="64"/>
    </row>
    <row r="5" spans="1:23" ht="14.4" customHeight="1" x14ac:dyDescent="0.3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  <c r="L5" s="63"/>
      <c r="N5" s="64"/>
      <c r="O5" s="64"/>
      <c r="P5" s="64"/>
      <c r="Q5" s="64"/>
      <c r="R5" s="64"/>
      <c r="S5" s="64"/>
      <c r="T5" s="64"/>
      <c r="U5" s="64"/>
      <c r="V5" s="64"/>
      <c r="W5" s="64"/>
    </row>
    <row r="6" spans="1:23" x14ac:dyDescent="0.3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N6" s="47"/>
      <c r="O6" s="47"/>
      <c r="P6" s="47"/>
      <c r="Q6" s="47"/>
      <c r="R6" s="47"/>
      <c r="S6" s="47"/>
      <c r="T6" s="47"/>
      <c r="U6" s="47"/>
      <c r="V6" s="47"/>
      <c r="W6" s="47"/>
    </row>
    <row r="7" spans="1:23" x14ac:dyDescent="0.3">
      <c r="A7" s="48" t="s">
        <v>34</v>
      </c>
      <c r="B7" s="48" t="s">
        <v>27</v>
      </c>
      <c r="C7" s="47"/>
      <c r="D7" s="47"/>
      <c r="E7" s="47"/>
      <c r="F7" s="47"/>
      <c r="G7" s="47"/>
      <c r="H7" s="47"/>
      <c r="I7" s="47"/>
      <c r="J7" s="47"/>
      <c r="K7" s="47"/>
      <c r="L7" s="47"/>
      <c r="N7" s="47"/>
      <c r="O7" s="48" t="s">
        <v>34</v>
      </c>
      <c r="P7" s="48" t="s">
        <v>27</v>
      </c>
      <c r="Q7" s="47"/>
      <c r="R7" s="47"/>
      <c r="S7" s="47"/>
      <c r="T7" s="47"/>
      <c r="U7" s="47"/>
      <c r="V7" s="47"/>
      <c r="W7" s="47"/>
    </row>
    <row r="8" spans="1:23" x14ac:dyDescent="0.3">
      <c r="A8" s="48" t="s">
        <v>33</v>
      </c>
      <c r="B8" s="49">
        <v>48451</v>
      </c>
      <c r="C8" s="47"/>
      <c r="D8" s="47"/>
      <c r="E8" s="47"/>
      <c r="F8" s="47"/>
      <c r="G8" s="47"/>
      <c r="H8" s="47"/>
      <c r="I8" s="47"/>
      <c r="J8" s="47"/>
      <c r="K8" s="47"/>
      <c r="L8" s="47"/>
      <c r="N8" s="47"/>
      <c r="O8" s="48" t="s">
        <v>6</v>
      </c>
      <c r="P8" s="49">
        <v>70080</v>
      </c>
      <c r="Q8" s="47"/>
      <c r="R8" s="47"/>
      <c r="S8" s="47"/>
      <c r="T8" s="47"/>
      <c r="U8" s="47"/>
      <c r="V8" s="47"/>
      <c r="W8" s="47"/>
    </row>
    <row r="9" spans="1:23" x14ac:dyDescent="0.3">
      <c r="A9" s="48" t="s">
        <v>9</v>
      </c>
      <c r="B9" s="49">
        <v>42000</v>
      </c>
      <c r="C9" s="47"/>
      <c r="D9" s="47"/>
      <c r="E9" s="47"/>
      <c r="F9" s="47"/>
      <c r="G9" s="47"/>
      <c r="H9" s="47"/>
      <c r="I9" s="47"/>
      <c r="J9" s="47"/>
      <c r="K9" s="47"/>
      <c r="L9" s="47"/>
      <c r="N9" s="47"/>
      <c r="O9" s="48" t="s">
        <v>7</v>
      </c>
      <c r="P9" s="49">
        <v>44497</v>
      </c>
      <c r="Q9" s="47"/>
      <c r="R9" s="47"/>
      <c r="S9" s="47"/>
      <c r="T9" s="47"/>
      <c r="U9" s="47"/>
      <c r="V9" s="47"/>
      <c r="W9" s="47"/>
    </row>
    <row r="10" spans="1:23" x14ac:dyDescent="0.3">
      <c r="A10" s="48" t="s">
        <v>16</v>
      </c>
      <c r="B10" s="49">
        <v>12710</v>
      </c>
      <c r="C10" s="47"/>
      <c r="D10" s="47"/>
      <c r="E10" s="47"/>
      <c r="F10" s="47"/>
      <c r="G10" s="47"/>
      <c r="H10" s="47"/>
      <c r="I10" s="47"/>
      <c r="J10" s="47"/>
      <c r="K10" s="47"/>
      <c r="L10" s="47"/>
      <c r="N10" s="47"/>
      <c r="O10" s="48" t="s">
        <v>8</v>
      </c>
      <c r="P10" s="49">
        <v>119908</v>
      </c>
      <c r="Q10" s="47"/>
      <c r="R10" s="47"/>
      <c r="S10" s="47"/>
      <c r="T10" s="47"/>
      <c r="U10" s="47"/>
      <c r="V10" s="47"/>
      <c r="W10" s="47"/>
    </row>
    <row r="11" spans="1:23" x14ac:dyDescent="0.3">
      <c r="A11" s="48" t="s">
        <v>38</v>
      </c>
      <c r="B11" s="49">
        <v>10480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N11" s="47"/>
      <c r="O11" s="48" t="s">
        <v>14</v>
      </c>
      <c r="P11" s="49">
        <v>61161</v>
      </c>
      <c r="Q11" s="47"/>
      <c r="R11" s="47"/>
      <c r="S11" s="47"/>
      <c r="T11" s="47"/>
      <c r="U11" s="47"/>
      <c r="V11" s="47"/>
      <c r="W11" s="47"/>
    </row>
    <row r="12" spans="1:23" x14ac:dyDescent="0.3">
      <c r="A12" s="48" t="s">
        <v>3</v>
      </c>
      <c r="B12" s="49">
        <v>5200</v>
      </c>
      <c r="C12" s="47"/>
      <c r="D12" s="47"/>
      <c r="E12" s="47"/>
      <c r="F12" s="47"/>
      <c r="G12" s="47"/>
      <c r="H12" s="47"/>
      <c r="I12" s="47"/>
      <c r="J12" s="47"/>
      <c r="K12" s="47"/>
      <c r="L12" s="47"/>
      <c r="N12" s="47"/>
      <c r="O12" s="48" t="s">
        <v>13</v>
      </c>
      <c r="P12" s="49">
        <v>358854</v>
      </c>
      <c r="Q12" s="47"/>
      <c r="R12" s="47"/>
      <c r="S12" s="47"/>
      <c r="T12" s="47"/>
      <c r="U12" s="47"/>
      <c r="V12" s="47"/>
      <c r="W12" s="47"/>
    </row>
    <row r="13" spans="1:23" x14ac:dyDescent="0.3">
      <c r="A13" s="48" t="s">
        <v>4</v>
      </c>
      <c r="B13" s="49">
        <v>8100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N13" s="47"/>
      <c r="O13" s="48" t="s">
        <v>26</v>
      </c>
      <c r="P13" s="49">
        <v>654500</v>
      </c>
      <c r="Q13" s="47"/>
      <c r="R13" s="47"/>
      <c r="S13" s="47"/>
      <c r="T13" s="47"/>
      <c r="U13" s="47"/>
      <c r="V13" s="47"/>
      <c r="W13" s="47"/>
    </row>
    <row r="14" spans="1:23" x14ac:dyDescent="0.3">
      <c r="A14" s="48" t="s">
        <v>29</v>
      </c>
      <c r="B14" s="49">
        <v>14097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x14ac:dyDescent="0.3">
      <c r="A15" s="48" t="s">
        <v>30</v>
      </c>
      <c r="B15" s="49">
        <v>19503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x14ac:dyDescent="0.3">
      <c r="A16" s="48" t="s">
        <v>2</v>
      </c>
      <c r="B16" s="49">
        <v>360848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x14ac:dyDescent="0.3">
      <c r="A17" s="48" t="s">
        <v>0</v>
      </c>
      <c r="B17" s="49">
        <v>28000</v>
      </c>
      <c r="C17" s="47"/>
      <c r="D17" s="47"/>
      <c r="E17" s="47"/>
      <c r="F17" s="47"/>
      <c r="G17" s="47"/>
      <c r="H17" s="47"/>
      <c r="I17" s="47"/>
      <c r="J17" s="47"/>
      <c r="K17" s="47"/>
      <c r="L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x14ac:dyDescent="0.3">
      <c r="A18" s="48" t="s">
        <v>1</v>
      </c>
      <c r="B18" s="49">
        <v>75976</v>
      </c>
      <c r="C18" s="47"/>
      <c r="D18" s="47"/>
      <c r="E18" s="47"/>
      <c r="F18" s="47"/>
      <c r="G18" s="47"/>
      <c r="H18" s="47"/>
      <c r="I18" s="47"/>
      <c r="J18" s="47"/>
      <c r="K18" s="47"/>
      <c r="L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x14ac:dyDescent="0.3">
      <c r="A19" s="48" t="s">
        <v>5</v>
      </c>
      <c r="B19" s="49">
        <v>2400</v>
      </c>
      <c r="C19" s="47"/>
      <c r="D19" s="47"/>
      <c r="E19" s="47"/>
      <c r="F19" s="47"/>
      <c r="G19" s="47"/>
      <c r="H19" s="47"/>
      <c r="I19" s="47"/>
      <c r="J19" s="47"/>
      <c r="K19" s="47"/>
      <c r="L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x14ac:dyDescent="0.3">
      <c r="A20" s="48" t="s">
        <v>42</v>
      </c>
      <c r="B20" s="49">
        <v>1300</v>
      </c>
      <c r="C20" s="47"/>
      <c r="D20" s="47"/>
      <c r="E20" s="47"/>
      <c r="F20" s="47"/>
      <c r="G20" s="47"/>
      <c r="H20" s="47"/>
      <c r="I20" s="47"/>
      <c r="J20" s="47"/>
      <c r="K20" s="47"/>
      <c r="L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x14ac:dyDescent="0.3">
      <c r="A21" s="48" t="s">
        <v>43</v>
      </c>
      <c r="B21" s="49">
        <v>800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x14ac:dyDescent="0.3">
      <c r="A22" s="48" t="s">
        <v>48</v>
      </c>
      <c r="B22" s="49">
        <v>20706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x14ac:dyDescent="0.3">
      <c r="A23" s="48" t="s">
        <v>49</v>
      </c>
      <c r="B23" s="49">
        <v>2129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x14ac:dyDescent="0.3">
      <c r="A24" s="48" t="s">
        <v>50</v>
      </c>
      <c r="B24" s="49">
        <v>1800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x14ac:dyDescent="0.3">
      <c r="A25" s="48" t="s">
        <v>26</v>
      </c>
      <c r="B25" s="49">
        <v>654500</v>
      </c>
      <c r="C25" s="47"/>
      <c r="D25" s="47"/>
      <c r="E25" s="47"/>
      <c r="F25" s="47"/>
      <c r="G25" s="47"/>
      <c r="H25" s="47"/>
      <c r="I25" s="47"/>
      <c r="J25" s="47"/>
      <c r="K25" s="47"/>
      <c r="L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x14ac:dyDescent="0.3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9" spans="1:23" x14ac:dyDescent="0.3">
      <c r="B29" s="63" t="s">
        <v>47</v>
      </c>
      <c r="C29" s="65"/>
      <c r="D29" s="65"/>
      <c r="E29" s="65"/>
      <c r="F29" s="65"/>
      <c r="G29" s="65"/>
      <c r="H29" s="65"/>
      <c r="I29" s="65"/>
      <c r="J29" s="65"/>
    </row>
    <row r="30" spans="1:23" x14ac:dyDescent="0.3">
      <c r="B30" s="65"/>
      <c r="C30" s="65"/>
      <c r="D30" s="65"/>
      <c r="E30" s="65"/>
      <c r="F30" s="65"/>
      <c r="G30" s="65"/>
      <c r="H30" s="65"/>
      <c r="I30" s="65"/>
      <c r="J30" s="65"/>
    </row>
    <row r="31" spans="1:23" x14ac:dyDescent="0.3">
      <c r="B31" s="65"/>
      <c r="C31" s="65"/>
      <c r="D31" s="65"/>
      <c r="E31" s="65"/>
      <c r="F31" s="65"/>
      <c r="G31" s="65"/>
      <c r="H31" s="65"/>
      <c r="I31" s="65"/>
      <c r="J31" s="65"/>
    </row>
    <row r="32" spans="1:23" x14ac:dyDescent="0.3">
      <c r="B32" s="47"/>
      <c r="C32" s="47"/>
      <c r="D32" s="47"/>
      <c r="E32" s="47"/>
      <c r="F32" s="47"/>
      <c r="G32" s="47"/>
      <c r="H32" s="47"/>
      <c r="I32" s="47"/>
      <c r="J32" s="47"/>
    </row>
    <row r="33" spans="2:10" x14ac:dyDescent="0.3">
      <c r="B33" s="48" t="s">
        <v>34</v>
      </c>
      <c r="C33" s="48" t="s">
        <v>35</v>
      </c>
      <c r="D33" s="47"/>
      <c r="E33" s="47"/>
      <c r="F33" s="47"/>
      <c r="G33" s="47"/>
      <c r="H33" s="47"/>
      <c r="I33" s="47"/>
      <c r="J33" s="47"/>
    </row>
    <row r="34" spans="2:10" x14ac:dyDescent="0.3">
      <c r="B34" s="48" t="s">
        <v>6</v>
      </c>
      <c r="C34" s="48">
        <v>4</v>
      </c>
      <c r="D34" s="47"/>
      <c r="E34" s="47"/>
      <c r="F34" s="47"/>
      <c r="G34" s="47"/>
      <c r="H34" s="47"/>
      <c r="I34" s="47"/>
      <c r="J34" s="47"/>
    </row>
    <row r="35" spans="2:10" x14ac:dyDescent="0.3">
      <c r="B35" s="48" t="s">
        <v>7</v>
      </c>
      <c r="C35" s="48">
        <v>3</v>
      </c>
      <c r="D35" s="47"/>
      <c r="E35" s="47"/>
      <c r="F35" s="47"/>
      <c r="G35" s="47"/>
      <c r="H35" s="47"/>
      <c r="I35" s="47"/>
      <c r="J35" s="47"/>
    </row>
    <row r="36" spans="2:10" x14ac:dyDescent="0.3">
      <c r="B36" s="48" t="s">
        <v>8</v>
      </c>
      <c r="C36" s="48">
        <v>7</v>
      </c>
      <c r="D36" s="47"/>
      <c r="E36" s="47"/>
      <c r="F36" s="47"/>
      <c r="G36" s="47"/>
      <c r="H36" s="47"/>
      <c r="I36" s="47"/>
      <c r="J36" s="47"/>
    </row>
    <row r="37" spans="2:10" x14ac:dyDescent="0.3">
      <c r="B37" s="48" t="s">
        <v>14</v>
      </c>
      <c r="C37" s="48">
        <v>2</v>
      </c>
      <c r="D37" s="47"/>
      <c r="E37" s="47"/>
      <c r="F37" s="47"/>
      <c r="G37" s="47"/>
      <c r="H37" s="47"/>
      <c r="I37" s="47"/>
      <c r="J37" s="47"/>
    </row>
    <row r="38" spans="2:10" x14ac:dyDescent="0.3">
      <c r="B38" s="48" t="s">
        <v>13</v>
      </c>
      <c r="C38" s="48">
        <v>3</v>
      </c>
      <c r="D38" s="47"/>
      <c r="E38" s="47"/>
      <c r="F38" s="47"/>
      <c r="G38" s="47"/>
      <c r="H38" s="47"/>
      <c r="I38" s="47"/>
      <c r="J38" s="47"/>
    </row>
    <row r="39" spans="2:10" x14ac:dyDescent="0.3">
      <c r="B39" s="48" t="s">
        <v>26</v>
      </c>
      <c r="C39" s="48">
        <v>19</v>
      </c>
      <c r="D39" s="47"/>
      <c r="E39" s="47"/>
      <c r="F39" s="47"/>
      <c r="G39" s="47"/>
      <c r="H39" s="47"/>
      <c r="I39" s="47"/>
      <c r="J39" s="47"/>
    </row>
    <row r="40" spans="2:10" x14ac:dyDescent="0.3">
      <c r="B40" s="47"/>
      <c r="C40" s="47"/>
      <c r="D40" s="47"/>
      <c r="E40" s="47"/>
      <c r="F40" s="47"/>
      <c r="G40" s="47"/>
      <c r="H40" s="47"/>
      <c r="I40" s="47"/>
      <c r="J40" s="47"/>
    </row>
    <row r="41" spans="2:10" x14ac:dyDescent="0.3">
      <c r="B41" s="47"/>
      <c r="C41" s="47"/>
      <c r="D41" s="47"/>
      <c r="E41" s="47"/>
      <c r="F41" s="47"/>
      <c r="G41" s="47"/>
      <c r="H41" s="47"/>
      <c r="I41" s="47"/>
      <c r="J41" s="47"/>
    </row>
    <row r="42" spans="2:10" x14ac:dyDescent="0.3">
      <c r="B42" s="47"/>
      <c r="C42" s="47"/>
      <c r="D42" s="47"/>
      <c r="E42" s="47"/>
      <c r="F42" s="47"/>
      <c r="G42" s="47"/>
      <c r="H42" s="47"/>
      <c r="I42" s="47"/>
      <c r="J42" s="47"/>
    </row>
    <row r="43" spans="2:10" x14ac:dyDescent="0.3">
      <c r="B43" s="47"/>
      <c r="C43" s="47"/>
      <c r="D43" s="47"/>
      <c r="E43" s="47"/>
      <c r="F43" s="47"/>
      <c r="G43" s="47"/>
      <c r="H43" s="47"/>
      <c r="I43" s="47"/>
      <c r="J43" s="47"/>
    </row>
    <row r="44" spans="2:10" x14ac:dyDescent="0.3">
      <c r="B44" s="47"/>
      <c r="C44" s="47"/>
      <c r="D44" s="47"/>
      <c r="E44" s="47"/>
      <c r="F44" s="47"/>
      <c r="G44" s="47"/>
      <c r="H44" s="47"/>
      <c r="I44" s="47"/>
      <c r="J44" s="47"/>
    </row>
    <row r="45" spans="2:10" x14ac:dyDescent="0.3">
      <c r="B45" s="47"/>
      <c r="C45" s="47"/>
      <c r="D45" s="47"/>
      <c r="E45" s="47"/>
      <c r="F45" s="47"/>
      <c r="G45" s="47"/>
      <c r="H45" s="47"/>
      <c r="I45" s="47"/>
      <c r="J45" s="47"/>
    </row>
    <row r="46" spans="2:10" x14ac:dyDescent="0.3">
      <c r="B46" s="47"/>
      <c r="C46" s="47"/>
      <c r="D46" s="47"/>
      <c r="E46" s="47"/>
      <c r="F46" s="47"/>
      <c r="G46" s="47"/>
      <c r="H46" s="47"/>
      <c r="I46" s="47"/>
      <c r="J46" s="47"/>
    </row>
    <row r="47" spans="2:10" x14ac:dyDescent="0.3">
      <c r="B47" s="47"/>
      <c r="C47" s="47"/>
      <c r="D47" s="47"/>
      <c r="E47" s="47"/>
      <c r="F47" s="47"/>
      <c r="G47" s="47"/>
      <c r="H47" s="47"/>
      <c r="I47" s="47"/>
      <c r="J47" s="47"/>
    </row>
    <row r="48" spans="2:10" x14ac:dyDescent="0.3">
      <c r="B48" s="47"/>
      <c r="C48" s="47"/>
      <c r="D48" s="47"/>
      <c r="E48" s="47"/>
      <c r="F48" s="47"/>
      <c r="G48" s="47"/>
      <c r="H48" s="47"/>
      <c r="I48" s="47"/>
      <c r="J48" s="47"/>
    </row>
  </sheetData>
  <mergeCells count="4">
    <mergeCell ref="A1:XFD2"/>
    <mergeCell ref="A4:L5"/>
    <mergeCell ref="N4:W5"/>
    <mergeCell ref="B29:J31"/>
  </mergeCells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A3F85-0703-4F29-9DBE-5F28379181E7}">
  <sheetPr codeName="Sheet2"/>
  <dimension ref="A1:V26"/>
  <sheetViews>
    <sheetView zoomScale="92" workbookViewId="0">
      <selection activeCell="G16" sqref="G16"/>
    </sheetView>
  </sheetViews>
  <sheetFormatPr defaultRowHeight="14.4" x14ac:dyDescent="0.3"/>
  <cols>
    <col min="1" max="1" width="22.5546875" customWidth="1"/>
    <col min="2" max="2" width="8" customWidth="1"/>
    <col min="3" max="3" width="2.77734375" customWidth="1"/>
    <col min="4" max="4" width="36" customWidth="1"/>
    <col min="5" max="5" width="31.5546875" customWidth="1"/>
    <col min="6" max="6" width="5.88671875" customWidth="1"/>
    <col min="22" max="22" width="11.21875" bestFit="1" customWidth="1"/>
  </cols>
  <sheetData>
    <row r="1" spans="1:22" x14ac:dyDescent="0.3">
      <c r="E1" s="1"/>
    </row>
    <row r="2" spans="1:22" x14ac:dyDescent="0.3">
      <c r="E2" s="1"/>
    </row>
    <row r="3" spans="1:22" ht="18.600000000000001" customHeight="1" x14ac:dyDescent="0.3">
      <c r="B3" s="10"/>
      <c r="C3" s="11"/>
      <c r="D3" s="11"/>
      <c r="E3" s="12"/>
      <c r="F3" s="13"/>
    </row>
    <row r="4" spans="1:22" x14ac:dyDescent="0.3">
      <c r="B4" s="66" t="s">
        <v>11</v>
      </c>
      <c r="C4" s="67"/>
      <c r="D4" s="67"/>
      <c r="E4" s="67"/>
      <c r="F4" s="68"/>
    </row>
    <row r="5" spans="1:22" ht="10.199999999999999" customHeight="1" x14ac:dyDescent="0.3">
      <c r="B5" s="66"/>
      <c r="C5" s="67"/>
      <c r="D5" s="67"/>
      <c r="E5" s="67"/>
      <c r="F5" s="68"/>
    </row>
    <row r="6" spans="1:22" ht="7.8" customHeight="1" x14ac:dyDescent="0.3">
      <c r="B6" s="66"/>
      <c r="C6" s="67"/>
      <c r="D6" s="67"/>
      <c r="E6" s="67"/>
      <c r="F6" s="68"/>
    </row>
    <row r="7" spans="1:22" hidden="1" x14ac:dyDescent="0.3">
      <c r="B7" s="2"/>
      <c r="C7" s="3"/>
      <c r="D7" s="3"/>
      <c r="E7" s="4"/>
      <c r="F7" s="5"/>
    </row>
    <row r="8" spans="1:22" ht="13.2" customHeight="1" thickBot="1" x14ac:dyDescent="0.35">
      <c r="B8" s="14"/>
      <c r="C8" s="18"/>
      <c r="D8" s="18"/>
      <c r="E8" s="19"/>
      <c r="F8" s="20"/>
    </row>
    <row r="9" spans="1:22" ht="12.6" customHeight="1" thickBot="1" x14ac:dyDescent="0.35">
      <c r="B9" s="14"/>
      <c r="C9" s="26"/>
      <c r="D9" s="26"/>
      <c r="E9" s="27"/>
      <c r="F9" s="20"/>
      <c r="V9" s="39" t="s">
        <v>15</v>
      </c>
    </row>
    <row r="10" spans="1:22" x14ac:dyDescent="0.3">
      <c r="A10" s="6"/>
      <c r="B10" s="15"/>
      <c r="C10" s="69"/>
      <c r="D10" s="70"/>
      <c r="E10" s="70"/>
      <c r="F10" s="21"/>
      <c r="V10" s="37" t="s">
        <v>7</v>
      </c>
    </row>
    <row r="11" spans="1:22" ht="15.6" x14ac:dyDescent="0.3">
      <c r="A11" s="7"/>
      <c r="B11" s="16"/>
      <c r="C11" s="30"/>
      <c r="D11" s="29" t="s">
        <v>12</v>
      </c>
      <c r="E11" s="50"/>
      <c r="F11" s="22"/>
      <c r="R11" s="36"/>
      <c r="S11" s="36"/>
      <c r="V11" s="37" t="s">
        <v>8</v>
      </c>
    </row>
    <row r="12" spans="1:22" ht="15.6" x14ac:dyDescent="0.3">
      <c r="A12" s="7"/>
      <c r="B12" s="16"/>
      <c r="C12" s="30"/>
      <c r="D12" s="29"/>
      <c r="E12" s="51"/>
      <c r="F12" s="22"/>
      <c r="V12" s="37" t="s">
        <v>6</v>
      </c>
    </row>
    <row r="13" spans="1:22" ht="15.6" x14ac:dyDescent="0.3">
      <c r="A13" s="7"/>
      <c r="B13" s="16"/>
      <c r="C13" s="30"/>
      <c r="D13" s="29" t="s">
        <v>31</v>
      </c>
      <c r="E13" s="52"/>
      <c r="F13" s="22"/>
      <c r="V13" s="37" t="s">
        <v>13</v>
      </c>
    </row>
    <row r="14" spans="1:22" ht="16.2" thickBot="1" x14ac:dyDescent="0.35">
      <c r="A14" s="7"/>
      <c r="B14" s="16"/>
      <c r="C14" s="30"/>
      <c r="D14" s="29"/>
      <c r="E14" s="53"/>
      <c r="F14" s="22"/>
      <c r="V14" s="38" t="s">
        <v>14</v>
      </c>
    </row>
    <row r="15" spans="1:22" ht="15.6" x14ac:dyDescent="0.3">
      <c r="A15" s="7"/>
      <c r="B15" s="16"/>
      <c r="C15" s="30"/>
      <c r="D15" s="29" t="s">
        <v>32</v>
      </c>
      <c r="E15" s="52"/>
      <c r="F15" s="22"/>
    </row>
    <row r="16" spans="1:22" ht="15.6" x14ac:dyDescent="0.3">
      <c r="A16" s="7"/>
      <c r="B16" s="16"/>
      <c r="C16" s="30"/>
      <c r="D16" s="29"/>
      <c r="E16" s="53"/>
      <c r="F16" s="22"/>
    </row>
    <row r="17" spans="1:6" ht="15.6" x14ac:dyDescent="0.3">
      <c r="A17" s="7"/>
      <c r="B17" s="16"/>
      <c r="C17" s="30"/>
      <c r="D17" s="29" t="s">
        <v>17</v>
      </c>
      <c r="E17" s="50"/>
      <c r="F17" s="22"/>
    </row>
    <row r="18" spans="1:6" ht="15.6" x14ac:dyDescent="0.3">
      <c r="A18" s="7"/>
      <c r="B18" s="16"/>
      <c r="C18" s="30"/>
      <c r="D18" s="29"/>
      <c r="E18" s="53"/>
      <c r="F18" s="22"/>
    </row>
    <row r="19" spans="1:6" ht="15.6" x14ac:dyDescent="0.3">
      <c r="A19" s="7"/>
      <c r="B19" s="16"/>
      <c r="C19" s="30"/>
      <c r="D19" s="29" t="s">
        <v>25</v>
      </c>
      <c r="E19" s="50"/>
      <c r="F19" s="22"/>
    </row>
    <row r="20" spans="1:6" ht="15.6" x14ac:dyDescent="0.3">
      <c r="A20" s="7"/>
      <c r="B20" s="16"/>
      <c r="C20" s="30"/>
      <c r="D20" s="29"/>
      <c r="E20" s="53"/>
      <c r="F20" s="22"/>
    </row>
    <row r="21" spans="1:6" ht="15.6" x14ac:dyDescent="0.3">
      <c r="A21" s="7"/>
      <c r="B21" s="16"/>
      <c r="C21" s="30"/>
      <c r="D21" s="29" t="s">
        <v>24</v>
      </c>
      <c r="E21" s="50"/>
      <c r="F21" s="22"/>
    </row>
    <row r="22" spans="1:6" ht="15.6" x14ac:dyDescent="0.3">
      <c r="A22" s="7"/>
      <c r="B22" s="16"/>
      <c r="C22" s="30"/>
      <c r="D22" s="29"/>
      <c r="E22" s="53"/>
      <c r="F22" s="22"/>
    </row>
    <row r="23" spans="1:6" ht="15.6" x14ac:dyDescent="0.3">
      <c r="A23" s="7"/>
      <c r="B23" s="16"/>
      <c r="C23" s="30"/>
      <c r="D23" s="29" t="s">
        <v>23</v>
      </c>
      <c r="E23" s="50"/>
      <c r="F23" s="22"/>
    </row>
    <row r="24" spans="1:6" ht="3" customHeight="1" x14ac:dyDescent="0.3">
      <c r="A24" s="7"/>
      <c r="B24" s="16"/>
      <c r="C24" s="30"/>
      <c r="D24" s="31"/>
      <c r="E24" s="28"/>
      <c r="F24" s="22"/>
    </row>
    <row r="25" spans="1:6" ht="12.6" customHeight="1" thickBot="1" x14ac:dyDescent="0.35">
      <c r="B25" s="14"/>
      <c r="C25" s="18"/>
      <c r="D25" s="18"/>
      <c r="E25" s="19"/>
      <c r="F25" s="20"/>
    </row>
    <row r="26" spans="1:6" ht="16.2" customHeight="1" x14ac:dyDescent="0.3">
      <c r="B26" s="17"/>
      <c r="C26" s="24"/>
      <c r="D26" s="24"/>
      <c r="E26" s="25"/>
      <c r="F26" s="23"/>
    </row>
  </sheetData>
  <mergeCells count="2">
    <mergeCell ref="B4:F6"/>
    <mergeCell ref="C10:E10"/>
  </mergeCells>
  <dataValidations count="4">
    <dataValidation type="list" allowBlank="1" showInputMessage="1" showErrorMessage="1" sqref="E17" xr:uid="{F620F7A7-5374-4552-943F-71C68AEC6795}">
      <formula1>$V$10:$V$14</formula1>
    </dataValidation>
    <dataValidation type="decimal" allowBlank="1" showInputMessage="1" showErrorMessage="1" error="Please enter a number! " sqref="E19" xr:uid="{BA30259D-E4F5-4207-8B24-44C34E839581}">
      <formula1>0</formula1>
      <formula2>10000000000000000</formula2>
    </dataValidation>
    <dataValidation type="decimal" allowBlank="1" showInputMessage="1" showErrorMessage="1" error="Please enter a number!" sqref="E21" xr:uid="{5E7875C4-1171-4AA0-9F4E-F992B652E299}">
      <formula1>0</formula1>
      <formula2>1E+28</formula2>
    </dataValidation>
    <dataValidation type="decimal" allowBlank="1" showInputMessage="1" showErrorMessage="1" error="Please enter a number!" sqref="E23" xr:uid="{655C46D1-5069-4B99-8B9B-A5F553A6D933}">
      <formula1>0</formula1>
      <formula2>1E+37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AddFormDetails">
                <anchor moveWithCells="1" sizeWithCells="1">
                  <from>
                    <xdr:col>7</xdr:col>
                    <xdr:colOff>601980</xdr:colOff>
                    <xdr:row>3</xdr:row>
                    <xdr:rowOff>129540</xdr:rowOff>
                  </from>
                  <to>
                    <xdr:col>11</xdr:col>
                    <xdr:colOff>373380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Cover Page</vt:lpstr>
      <vt:lpstr>Applications</vt:lpstr>
      <vt:lpstr>Status</vt:lpstr>
      <vt:lpstr>Cost Analysis</vt:lpstr>
      <vt:lpstr>Form</vt:lpstr>
      <vt:lpstr>Application_Name</vt:lpstr>
      <vt:lpstr>Department_used_by</vt:lpstr>
      <vt:lpstr>Initial_Cost</vt:lpstr>
      <vt:lpstr>Last_Update_Received</vt:lpstr>
      <vt:lpstr>License_Expiry_Date</vt:lpstr>
      <vt:lpstr>Maintenance_Cost</vt:lpstr>
      <vt:lpstr>Retirement_Cost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AROMA KHURSHEED - 22001</dc:creator>
  <cp:lastModifiedBy>AROMA KHURSHEED - 22001</cp:lastModifiedBy>
  <dcterms:created xsi:type="dcterms:W3CDTF">2025-01-19T18:01:01Z</dcterms:created>
  <dcterms:modified xsi:type="dcterms:W3CDTF">2025-01-22T20:17:29Z</dcterms:modified>
</cp:coreProperties>
</file>